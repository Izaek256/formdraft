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ule_register" sheetId="2" state="visible" r:id="rId4"/>
    <sheet name="Thresholds" sheetId="3" state="visible" r:id="rId5"/>
    <sheet name="Size_charts" sheetId="4" state="visible" r:id="rId6"/>
    <sheet name="Reference_drafts" sheetId="5" state="visible" r:id="rId7"/>
    <sheet name="Grade_tables" sheetId="6" state="visible" r:id="rId8"/>
    <sheet name="Decisions" sheetId="7" state="visible" r:id="rId9"/>
    <sheet name="G0_signoff" sheetId="8" state="visible" r:id="rId10"/>
    <sheet name="Lists" sheetId="9" state="visible" r:id="rId11"/>
  </sheets>
  <definedNames>
    <definedName function="false" hidden="true" localSheetId="1" name="_xlnm._FilterDatabase" vbProcedure="false">Rule_register!$A$1:$S$102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<sst xmlns="http://schemas.openxmlformats.org/spreadsheetml/2006/main" count="1270" uniqueCount="493">
  <si>
    <t xml:space="preserve">G0 rule register: Aldrich, Metric Pattern Cutting, 4th edition (2004), tailored skirt block</t>
  </si>
  <si>
    <t xml:space="preserve">Belongs to SRS 1.2, Appendix A. Method ID: aldrich-mpc-4e-tailored-skirt. Rulebook version: 1.0.0 (set when G0 closes).</t>
  </si>
  <si>
    <t xml:space="preserve">Purpose</t>
  </si>
  <si>
    <t xml:space="preserve">A pattern maker and the lead developer use this workbook to transcribe, interpret and verify every rule that influences production output, so the code has a traceable source for every constant (SRS FR-020, NFR-026).</t>
  </si>
  <si>
    <t xml:space="preserve">How to use</t>
  </si>
  <si>
    <t xml:space="preserve">1. Open the 4th edition at the page shown in 'Source page'. Fill the yellow cells only. Grey cells are formulas and must not be edited.</t>
  </si>
  <si>
    <t xml:space="preserve">2. Record each constant as printed in the book (Constant as printed) and its unit (Unit as printed). The workbook converts it to millimetres exactly (Constant in mm, auto).</t>
  </si>
  <si>
    <t xml:space="preserve">3. Kind B = book rule transcribed with a page reference. Kind I = interpretation, where the book is qualitative or incomplete and the project chose a numeric reading. Kind X = extension or project decision beyond the book.</t>
  </si>
  <si>
    <t xml:space="preserve">4. Status flow: Open &gt; Transcribed (or Decided for kind I and X) &gt; Verified by the pattern maker. Only Verified rules may reach production export. Use Rejected or N/A with a note when a rule is dropped.</t>
  </si>
  <si>
    <t xml:space="preserve">5. Mark 'Checked against figure' = Y when the transcription was compared with the book's diagram, not only the text.</t>
  </si>
  <si>
    <t xml:space="preserve">6. Row 2 of the Rule_register is an EXAMPLE of the expected format. It is not a rule from the book and is excluded from every count. Delete it when you start.</t>
  </si>
  <si>
    <t xml:space="preserve">Units</t>
  </si>
  <si>
    <t xml:space="preserve">Any cell with a Unit column accepts mm, cm, m, in, ft or yd. All conversions use the exact factors on the Lists sheet. The register stores what the book prints; the code stores canonical millimetres.</t>
  </si>
  <si>
    <t xml:space="preserve">Colour legend</t>
  </si>
  <si>
    <t xml:space="preserve">Yellow = fill in. Grey = formula, do not edit. Dark header = column titles. Grey italic row = example.</t>
  </si>
  <si>
    <t xml:space="preserve">Sheets</t>
  </si>
  <si>
    <t xml:space="preserve">Rule_register: every rule slot with ID, source page, release, kind, status and verifier.</t>
  </si>
  <si>
    <t xml:space="preserve">Thresholds: validation limits for the four required measurements (and optional bust).</t>
  </si>
  <si>
    <t xml:space="preserve">Size_charts: transcription slots for the book's standard body measurement charts.</t>
  </si>
  <si>
    <t xml:space="preserve">Reference_drafts: the ten hand-drafted reference skirts and their required composition.</t>
  </si>
  <si>
    <t xml:space="preserve">Grade_tables: R2 per-point grading increments for the tailored skirt block.</t>
  </si>
  <si>
    <t xml:space="preserve">Decisions: open approval items and G0 decisions.</t>
  </si>
  <si>
    <t xml:space="preserve">G0_signoff: readiness counts and the verifier's sign-off.</t>
  </si>
  <si>
    <t xml:space="preserve">Rights note</t>
  </si>
  <si>
    <t xml:space="preserve">This workbook contains structure and page references only. It does not reproduce the book's text or figures. Transcribe constants from your own copy and record the permission status on G0_signoff. This is not legal advice.</t>
  </si>
  <si>
    <t xml:space="preserve">Rule ID</t>
  </si>
  <si>
    <t xml:space="preserve">Group</t>
  </si>
  <si>
    <t xml:space="preserve">Piece</t>
  </si>
  <si>
    <t xml:space="preserve">Element</t>
  </si>
  <si>
    <t xml:space="preserve">What this rule decides</t>
  </si>
  <si>
    <t xml:space="preserve">Depends on</t>
  </si>
  <si>
    <t xml:space="preserve">Source page (4th ed.)</t>
  </si>
  <si>
    <t xml:space="preserve">Release</t>
  </si>
  <si>
    <t xml:space="preserve">Kind (B/I/X)</t>
  </si>
  <si>
    <t xml:space="preserve">Expression (transcribe or write interpretation)</t>
  </si>
  <si>
    <t xml:space="preserve">Constant as printed</t>
  </si>
  <si>
    <t xml:space="preserve">Unit as printed</t>
  </si>
  <si>
    <t xml:space="preserve">Constant in mm (auto)</t>
  </si>
  <si>
    <t xml:space="preserve">Status</t>
  </si>
  <si>
    <t xml:space="preserve">Verified by</t>
  </si>
  <si>
    <t xml:space="preserve">Verified on</t>
  </si>
  <si>
    <t xml:space="preserve">Checked against figure (Y/N)</t>
  </si>
  <si>
    <t xml:space="preserve">Test cases</t>
  </si>
  <si>
    <t xml:space="preserve">Notes</t>
  </si>
  <si>
    <t xml:space="preserve">EXAMPLE-001</t>
  </si>
  <si>
    <t xml:space="preserve">Block</t>
  </si>
  <si>
    <t xml:space="preserve">Back</t>
  </si>
  <si>
    <t xml:space="preserve">Example only: not a rule from the book</t>
  </si>
  <si>
    <t xml:space="preserve">Shows the expected format of a filled row</t>
  </si>
  <si>
    <t xml:space="preserve">hips</t>
  </si>
  <si>
    <t xml:space="preserve">78</t>
  </si>
  <si>
    <t xml:space="preserve">R1</t>
  </si>
  <si>
    <t xml:space="preserve">B</t>
  </si>
  <si>
    <t xml:space="preserve">&lt;measurement&gt; / 4 + C1</t>
  </si>
  <si>
    <t xml:space="preserve">cm</t>
  </si>
  <si>
    <t xml:space="preserve">Example</t>
  </si>
  <si>
    <t xml:space="preserve">A. Pattern Maker</t>
  </si>
  <si>
    <t xml:space="preserve">2026-10-20</t>
  </si>
  <si>
    <t xml:space="preserve">Y</t>
  </si>
  <si>
    <t xml:space="preserve">AT-13</t>
  </si>
  <si>
    <t xml:space="preserve">Delete this row before use</t>
  </si>
  <si>
    <t xml:space="preserve">ALD4-TSB-001</t>
  </si>
  <si>
    <t xml:space="preserve">Both</t>
  </si>
  <si>
    <t xml:space="preserve">Drafting width</t>
  </si>
  <si>
    <t xml:space="preserve">Overall width reference taken from hips plus a fixed amount</t>
  </si>
  <si>
    <t xml:space="preserve">Open</t>
  </si>
  <si>
    <t xml:space="preserve">ALD4-TSB-002</t>
  </si>
  <si>
    <t xml:space="preserve">Centre front line</t>
  </si>
  <si>
    <t xml:space="preserve">Placement of the vertical reference line that forms centre front</t>
  </si>
  <si>
    <t xml:space="preserve">ALD4-TSB-003</t>
  </si>
  <si>
    <t xml:space="preserve">Hem level</t>
  </si>
  <si>
    <t xml:space="preserve">Vertical position of the hemline from skirt length</t>
  </si>
  <si>
    <t xml:space="preserve">skirt length</t>
  </si>
  <si>
    <t xml:space="preserve">ALD4-TSB-004</t>
  </si>
  <si>
    <t xml:space="preserve">Hip level</t>
  </si>
  <si>
    <t xml:space="preserve">Vertical position of the hipline from waist-to-hip</t>
  </si>
  <si>
    <t xml:space="preserve">waist-to-hip</t>
  </si>
  <si>
    <t xml:space="preserve">ALD4-TSB-005</t>
  </si>
  <si>
    <t xml:space="preserve">Back hip width</t>
  </si>
  <si>
    <t xml:space="preserve">Horizontal extent of the back at the hip: a fraction of hips plus fixed ease</t>
  </si>
  <si>
    <t xml:space="preserve">hips; ALD4-TSB-004</t>
  </si>
  <si>
    <t xml:space="preserve">ALD4-TSB-006</t>
  </si>
  <si>
    <t xml:space="preserve">Side seam to hem</t>
  </si>
  <si>
    <t xml:space="preserve">How the side seam is carried from the hip point to the hem</t>
  </si>
  <si>
    <t xml:space="preserve">ALD4-TSB-003; ALD4-TSB-005</t>
  </si>
  <si>
    <t xml:space="preserve">ALD4-TSB-007</t>
  </si>
  <si>
    <t xml:space="preserve">Back waist width</t>
  </si>
  <si>
    <t xml:space="preserve">Waist extent: a fraction of waist plus a fixed amount (includes dart intake)</t>
  </si>
  <si>
    <t xml:space="preserve">waist</t>
  </si>
  <si>
    <t xml:space="preserve">ALD4-TSB-008</t>
  </si>
  <si>
    <t xml:space="preserve">Waist side-point offset</t>
  </si>
  <si>
    <t xml:space="preserve">Small vertical offset at the waist side and the construction lines joining it</t>
  </si>
  <si>
    <t xml:space="preserve">ALD4-TSB-005; ALD4-TSB-007</t>
  </si>
  <si>
    <t xml:space="preserve">ALD4-TSB-009</t>
  </si>
  <si>
    <t xml:space="preserve">Dart divisions</t>
  </si>
  <si>
    <t xml:space="preserve">Division of the construction line into equal parts to locate the two back darts</t>
  </si>
  <si>
    <t xml:space="preserve">ALD4-TSB-010</t>
  </si>
  <si>
    <t xml:space="preserve">Dart 1 length</t>
  </si>
  <si>
    <t xml:space="preserve">Length of the first back dart</t>
  </si>
  <si>
    <t xml:space="preserve">ALD4-TSB-011</t>
  </si>
  <si>
    <t xml:space="preserve">Dart 2 length</t>
  </si>
  <si>
    <t xml:space="preserve">Length of the second back dart</t>
  </si>
  <si>
    <t xml:space="preserve">ALD4-TSB-012</t>
  </si>
  <si>
    <t xml:space="preserve">Dart width (both)</t>
  </si>
  <si>
    <t xml:space="preserve">Standard width of each back dart</t>
  </si>
  <si>
    <t xml:space="preserve">none</t>
  </si>
  <si>
    <t xml:space="preserve">ALD4-TSB-013</t>
  </si>
  <si>
    <t xml:space="preserve">Front</t>
  </si>
  <si>
    <t xml:space="preserve">Front hip width</t>
  </si>
  <si>
    <t xml:space="preserve">Horizontal extent of the front at the hip</t>
  </si>
  <si>
    <t xml:space="preserve">ALD4-TSB-014</t>
  </si>
  <si>
    <t xml:space="preserve">Front waist width</t>
  </si>
  <si>
    <t xml:space="preserve">ALD4-TSB-015</t>
  </si>
  <si>
    <t xml:space="preserve">ALD4-TSB-013; ALD4-TSB-014</t>
  </si>
  <si>
    <t xml:space="preserve">ALD4-TSB-016</t>
  </si>
  <si>
    <t xml:space="preserve">Dart position</t>
  </si>
  <si>
    <t xml:space="preserve">Location of the front dart along its construction line</t>
  </si>
  <si>
    <t xml:space="preserve">ALD4-TSB-017</t>
  </si>
  <si>
    <t xml:space="preserve">Dart length</t>
  </si>
  <si>
    <t xml:space="preserve">Length of the front dart</t>
  </si>
  <si>
    <t xml:space="preserve">ALD4-TSB-018</t>
  </si>
  <si>
    <t xml:space="preserve">Dart width</t>
  </si>
  <si>
    <t xml:space="preserve">Standard width of the front dart</t>
  </si>
  <si>
    <t xml:space="preserve">ALD4-TSB-019</t>
  </si>
  <si>
    <t xml:space="preserve">Embedded ease register</t>
  </si>
  <si>
    <t xml:space="preserve">List which constants above are ease (hip, waist). Documentation only, no geometry</t>
  </si>
  <si>
    <t xml:space="preserve">TSB-005; TSB-007; TSB-014</t>
  </si>
  <si>
    <t xml:space="preserve">ALD4-INT-001</t>
  </si>
  <si>
    <t xml:space="preserve">Curves</t>
  </si>
  <si>
    <t xml:space="preserve">Waistline curve</t>
  </si>
  <si>
    <t xml:space="preserve">Numeric curve definition for a waistline the book describes only as a slight curve</t>
  </si>
  <si>
    <t xml:space="preserve">ALD4-TSB-007; ALD4-TSB-008</t>
  </si>
  <si>
    <t xml:space="preserve">I</t>
  </si>
  <si>
    <t xml:space="preserve">ALD4-INT-002</t>
  </si>
  <si>
    <t xml:space="preserve">Numeric curve definition for the front waistline</t>
  </si>
  <si>
    <t xml:space="preserve">ALD4-TSB-014; ALD4-TSB-015</t>
  </si>
  <si>
    <t xml:space="preserve">ALD4-INT-003</t>
  </si>
  <si>
    <t xml:space="preserve">Side seam curve</t>
  </si>
  <si>
    <t xml:space="preserve">Numeric curve definition for a side seam that curves outwards by a small stated amount</t>
  </si>
  <si>
    <t xml:space="preserve">ALD4-INT-004</t>
  </si>
  <si>
    <t xml:space="preserve">Numeric curve definition for the front side seam</t>
  </si>
  <si>
    <t xml:space="preserve">ALD4-INT-005</t>
  </si>
  <si>
    <t xml:space="preserve">Darts</t>
  </si>
  <si>
    <t xml:space="preserve">Dart legs, apex, drill point</t>
  </si>
  <si>
    <t xml:space="preserve">How dart legs are drawn between the dart line and the waistline, and where the apex and drill point sit</t>
  </si>
  <si>
    <t xml:space="preserve">ALD4-TSB-009 to ALD4-TSB-018</t>
  </si>
  <si>
    <t xml:space="preserve">ALD4-INT-006</t>
  </si>
  <si>
    <t xml:space="preserve">Marks</t>
  </si>
  <si>
    <t xml:space="preserve">Notch positions</t>
  </si>
  <si>
    <t xml:space="preserve">Where balance marks are placed (for example at hip level)</t>
  </si>
  <si>
    <t xml:space="preserve">33</t>
  </si>
  <si>
    <t xml:space="preserve">ALD4-INT-007</t>
  </si>
  <si>
    <t xml:space="preserve">Grainline position and length</t>
  </si>
  <si>
    <t xml:space="preserve">Placement of the grainline arrow relative to the centre line</t>
  </si>
  <si>
    <t xml:space="preserve">ALD4-INT-008</t>
  </si>
  <si>
    <t xml:space="preserve">Adaptation</t>
  </si>
  <si>
    <t xml:space="preserve">Hem line after flare</t>
  </si>
  <si>
    <t xml:space="preserve">Hem shape and corner treatment at the side seam once flare is added</t>
  </si>
  <si>
    <t xml:space="preserve">80</t>
  </si>
  <si>
    <t xml:space="preserve">ALD4-INT-009</t>
  </si>
  <si>
    <t xml:space="preserve">Charts</t>
  </si>
  <si>
    <t xml:space="preserve">Chart size fallback</t>
  </si>
  <si>
    <t xml:space="preserve">Choosing the chart size by hips when bust is not supplied (the book chooses by bust)</t>
  </si>
  <si>
    <t xml:space="preserve">bust; hips</t>
  </si>
  <si>
    <t xml:space="preserve">11-12; 170</t>
  </si>
  <si>
    <t xml:space="preserve">ALD4-FIT-001</t>
  </si>
  <si>
    <t xml:space="preserve">Fit</t>
  </si>
  <si>
    <t xml:space="preserve">Small-waist trigger</t>
  </si>
  <si>
    <t xml:space="preserve">Numeric condition for a waist small in proportion to the hips (the book gives no number)</t>
  </si>
  <si>
    <t xml:space="preserve">waist; hips</t>
  </si>
  <si>
    <t xml:space="preserve">ALD4-FIT-002</t>
  </si>
  <si>
    <t xml:space="preserve">Widened dart width</t>
  </si>
  <si>
    <t xml:space="preserve">Dart width used when the small-waist rule applies</t>
  </si>
  <si>
    <t xml:space="preserve">ALD4-FIT-003</t>
  </si>
  <si>
    <t xml:space="preserve">Back waist constant (small-waist)</t>
  </si>
  <si>
    <t xml:space="preserve">Replacement waist constant for the back when the rule applies</t>
  </si>
  <si>
    <t xml:space="preserve">ALD4-FIT-004</t>
  </si>
  <si>
    <t xml:space="preserve">Front waist constant (small-waist)</t>
  </si>
  <si>
    <t xml:space="preserve">Replacement waist constant for the front when the rule applies</t>
  </si>
  <si>
    <t xml:space="preserve">ALD4-FIT-005</t>
  </si>
  <si>
    <t xml:space="preserve">Toile requirement</t>
  </si>
  <si>
    <t xml:space="preserve">Statement that blocks must be verified on a calico toile (no number)</t>
  </si>
  <si>
    <t xml:space="preserve">172</t>
  </si>
  <si>
    <t xml:space="preserve">ALD4-SSA-001</t>
  </si>
  <si>
    <t xml:space="preserve">Centre back swing</t>
  </si>
  <si>
    <t xml:space="preserve">Small shift of the lower centre back point giving a new centre back line</t>
  </si>
  <si>
    <t xml:space="preserve">ALD4-TSB-001; ALD4-TSB-003</t>
  </si>
  <si>
    <t xml:space="preserve">ALD4-SSA-002</t>
  </si>
  <si>
    <t xml:space="preserve">Hem flare at side seam</t>
  </si>
  <si>
    <t xml:space="preserve">Amount of flare added at the side seam hem and the line joining it to the hip point</t>
  </si>
  <si>
    <t xml:space="preserve">ALD4-SSA-003</t>
  </si>
  <si>
    <t xml:space="preserve">Applicability</t>
  </si>
  <si>
    <t xml:space="preserve">Swing applies to straight skirts only; a completely straight skirt uses neither swing nor flare</t>
  </si>
  <si>
    <t xml:space="preserve">ALD4-SA-001</t>
  </si>
  <si>
    <t xml:space="preserve">Allowance</t>
  </si>
  <si>
    <t xml:space="preserve">Side seam default</t>
  </si>
  <si>
    <t xml:space="preserve">Default width inside the book's guide for basic seams</t>
  </si>
  <si>
    <t xml:space="preserve">32</t>
  </si>
  <si>
    <t xml:space="preserve">ALD4-SA-002</t>
  </si>
  <si>
    <t xml:space="preserve">Hem default</t>
  </si>
  <si>
    <t xml:space="preserve">Default width inside the book's guide for hems</t>
  </si>
  <si>
    <t xml:space="preserve">ALD4-SA-003</t>
  </si>
  <si>
    <t xml:space="preserve">Waist edge default</t>
  </si>
  <si>
    <t xml:space="preserve">Default width for the waist edge</t>
  </si>
  <si>
    <t xml:space="preserve">ALD4-SA-004</t>
  </si>
  <si>
    <t xml:space="preserve">Fold line</t>
  </si>
  <si>
    <t xml:space="preserve">No allowance on a fold line</t>
  </si>
  <si>
    <t xml:space="preserve">ALD4-SA-005</t>
  </si>
  <si>
    <t xml:space="preserve">Corner policy</t>
  </si>
  <si>
    <t xml:space="preserve">How offsets join at corners (not given by the book)</t>
  </si>
  <si>
    <t xml:space="preserve">n/a</t>
  </si>
  <si>
    <t xml:space="preserve">X</t>
  </si>
  <si>
    <t xml:space="preserve">ALD4-SA-006</t>
  </si>
  <si>
    <t xml:space="preserve">Marking method</t>
  </si>
  <si>
    <t xml:space="preserve">Allowance is marked by lines or notches</t>
  </si>
  <si>
    <t xml:space="preserve">ALD4-MRK-001</t>
  </si>
  <si>
    <t xml:space="preserve">Piece name</t>
  </si>
  <si>
    <t xml:space="preserve">Mark the pattern must carry per the book's pattern-instruction list</t>
  </si>
  <si>
    <t xml:space="preserve">ALD4-MRK-002</t>
  </si>
  <si>
    <t xml:space="preserve">Centre back and centre front</t>
  </si>
  <si>
    <t xml:space="preserve">ALD4-MRK-003</t>
  </si>
  <si>
    <t xml:space="preserve">Number of pieces to cut</t>
  </si>
  <si>
    <t xml:space="preserve">ALD4-MRK-004</t>
  </si>
  <si>
    <t xml:space="preserve">Fold indicator</t>
  </si>
  <si>
    <t xml:space="preserve">ALD4-MRK-005</t>
  </si>
  <si>
    <t xml:space="preserve">Balance marks</t>
  </si>
  <si>
    <t xml:space="preserve">ALD4-MRK-006</t>
  </si>
  <si>
    <t xml:space="preserve">Seam allowance marking</t>
  </si>
  <si>
    <t xml:space="preserve">ALD4-MRK-007</t>
  </si>
  <si>
    <t xml:space="preserve">Construction lines (darts)</t>
  </si>
  <si>
    <t xml:space="preserve">ALD4-MRK-008</t>
  </si>
  <si>
    <t xml:space="preserve">Grainline (marked before cutting into sections)</t>
  </si>
  <si>
    <t xml:space="preserve">ALD4-MRK-009</t>
  </si>
  <si>
    <t xml:space="preserve">Pattern size</t>
  </si>
  <si>
    <t xml:space="preserve">ALD4-MRK-010</t>
  </si>
  <si>
    <t xml:space="preserve">Style number</t>
  </si>
  <si>
    <t xml:space="preserve">ALD4-CHT-001</t>
  </si>
  <si>
    <t xml:space="preserve">EU chart, 4 cm and 6 cm increments</t>
  </si>
  <si>
    <t xml:space="preserve">Size 8 to 26: bust, waist, hips, waist-to-hip (data on Size_charts)</t>
  </si>
  <si>
    <t xml:space="preserve">11</t>
  </si>
  <si>
    <t xml:space="preserve">ALD4-CHT-002</t>
  </si>
  <si>
    <t xml:space="preserve">UK chart, 5 cm increments</t>
  </si>
  <si>
    <t xml:space="preserve">Size 10 to 24 (data on Size_charts)</t>
  </si>
  <si>
    <t xml:space="preserve">12</t>
  </si>
  <si>
    <t xml:space="preserve">ALD4-CHT-003</t>
  </si>
  <si>
    <t xml:space="preserve">S M L XL chart</t>
  </si>
  <si>
    <t xml:space="preserve">High street sizes (data on Size_charts)</t>
  </si>
  <si>
    <t xml:space="preserve">R2</t>
  </si>
  <si>
    <t xml:space="preserve">ALD4-CHT-004</t>
  </si>
  <si>
    <t xml:space="preserve">Short and tall vertical adjustments</t>
  </si>
  <si>
    <t xml:space="preserve">Adjustments to vertical measurements for short and tall figures</t>
  </si>
  <si>
    <t xml:space="preserve">ALD4-CHT-005</t>
  </si>
  <si>
    <t xml:space="preserve">Chart size by bust</t>
  </si>
  <si>
    <t xml:space="preserve">Drafting size is chosen from the bust measurement unless the bust is very large in proportion</t>
  </si>
  <si>
    <t xml:space="preserve">bust</t>
  </si>
  <si>
    <t xml:space="preserve">170</t>
  </si>
  <si>
    <t xml:space="preserve">ALD4-MEA-001</t>
  </si>
  <si>
    <t xml:space="preserve">Protocol</t>
  </si>
  <si>
    <t xml:space="preserve">Waist</t>
  </si>
  <si>
    <t xml:space="preserve">Measured comfortably; string tied round the waist so vertical measures start from one line</t>
  </si>
  <si>
    <t xml:space="preserve">ALD4-MEA-002</t>
  </si>
  <si>
    <t xml:space="preserve">Hips</t>
  </si>
  <si>
    <t xml:space="preserve">Widest part of the hips, at a stated distance below the waistline</t>
  </si>
  <si>
    <t xml:space="preserve">ALD4-MEA-003</t>
  </si>
  <si>
    <t xml:space="preserve">Waist to hip</t>
  </si>
  <si>
    <t xml:space="preserve">Treated as a standard chart value even for individual figures</t>
  </si>
  <si>
    <t xml:space="preserve">chart</t>
  </si>
  <si>
    <t xml:space="preserve">ALD4-MEA-004</t>
  </si>
  <si>
    <t xml:space="preserve">Skirt length</t>
  </si>
  <si>
    <t xml:space="preserve">Measured from the waist string down to the required hem</t>
  </si>
  <si>
    <t xml:space="preserve">ALD4-MEA-005</t>
  </si>
  <si>
    <t xml:space="preserve">Deviation warning</t>
  </si>
  <si>
    <t xml:space="preserve">Compare personal and standard values; re-measure on wide differences (no number given)</t>
  </si>
  <si>
    <t xml:space="preserve">ALD4-GRD-001</t>
  </si>
  <si>
    <t xml:space="preserve">Grading</t>
  </si>
  <si>
    <t xml:space="preserve">Method</t>
  </si>
  <si>
    <t xml:space="preserve">Draft the smallest size, grade the largest, step the sizes between along lines through each point</t>
  </si>
  <si>
    <t xml:space="preserve">164</t>
  </si>
  <si>
    <t xml:space="preserve">ALD4-GRD-002</t>
  </si>
  <si>
    <t xml:space="preserve">Tailored skirt back increments</t>
  </si>
  <si>
    <t xml:space="preserve">Per-point horizontal and vertical increments per size step (data on Grade_tables)</t>
  </si>
  <si>
    <t xml:space="preserve">165</t>
  </si>
  <si>
    <t xml:space="preserve">ALD4-GRD-003</t>
  </si>
  <si>
    <t xml:space="preserve">Tailored skirt front increments</t>
  </si>
  <si>
    <t xml:space="preserve">ALD4-THR-001</t>
  </si>
  <si>
    <t xml:space="preserve">Validation</t>
  </si>
  <si>
    <t xml:space="preserve">Waist limits</t>
  </si>
  <si>
    <t xml:space="preserve">Hard and warning limits for input validation (data on Thresholds)</t>
  </si>
  <si>
    <t xml:space="preserve">ALD4-THR-002</t>
  </si>
  <si>
    <t xml:space="preserve">Hips limits</t>
  </si>
  <si>
    <t xml:space="preserve">ALD4-THR-003</t>
  </si>
  <si>
    <t xml:space="preserve">Waist-to-hip limits</t>
  </si>
  <si>
    <t xml:space="preserve">ALD4-THR-004</t>
  </si>
  <si>
    <t xml:space="preserve">Skirt length limits</t>
  </si>
  <si>
    <t xml:space="preserve">ALD4-THR-005</t>
  </si>
  <si>
    <t xml:space="preserve">Bust limits (chart lookup only)</t>
  </si>
  <si>
    <t xml:space="preserve">Measurement</t>
  </si>
  <si>
    <t xml:space="preserve">Unit</t>
  </si>
  <si>
    <t xml:space="preserve">Chart minimum (reference, EU chart p.11)</t>
  </si>
  <si>
    <t xml:space="preserve">Chart maximum (reference, EU chart p.11)</t>
  </si>
  <si>
    <t xml:space="preserve">Hard minimum</t>
  </si>
  <si>
    <t xml:space="preserve">Hard maximum</t>
  </si>
  <si>
    <t xml:space="preserve">Warn below</t>
  </si>
  <si>
    <t xml:space="preserve">Warn above</t>
  </si>
  <si>
    <t xml:space="preserve">Hard minimum mm (auto)</t>
  </si>
  <si>
    <t xml:space="preserve">Hard maximum mm (auto)</t>
  </si>
  <si>
    <t xml:space="preserve">Basis for the decision</t>
  </si>
  <si>
    <t xml:space="preserve">Decided by</t>
  </si>
  <si>
    <t xml:space="preserve">Date</t>
  </si>
  <si>
    <t xml:space="preserve">Bust (chart lookup only)</t>
  </si>
  <si>
    <t xml:space="preserve">Cross-field rules</t>
  </si>
  <si>
    <t xml:space="preserve">Rule</t>
  </si>
  <si>
    <t xml:space="preserve">Description</t>
  </si>
  <si>
    <t xml:space="preserve">Limit</t>
  </si>
  <si>
    <t xml:space="preserve">Hips against waist</t>
  </si>
  <si>
    <t xml:space="preserve">Smallest and largest allowed difference between hips and waist</t>
  </si>
  <si>
    <t xml:space="preserve">Deviation from chart</t>
  </si>
  <si>
    <t xml:space="preserve">Difference between a personal value and the nearest chart size that triggers a re-measure warning</t>
  </si>
  <si>
    <t xml:space="preserve">Skirt length bounds</t>
  </si>
  <si>
    <t xml:space="preserve">Smallest and largest skirt length, optionally related to waist to floor when supplied</t>
  </si>
  <si>
    <t xml:space="preserve">Link to ALD4-FIT-001: the waist-to-hip proportion that activates the small-waist rule</t>
  </si>
  <si>
    <t xml:space="preserve">Reference ranges come from the 4 cm and 6 cm increment chart (sizes 8 to 26) and are shown only to start the discussion. Hard limits are project decisions (kind X).</t>
  </si>
  <si>
    <t xml:space="preserve">Chart 1: EU body measurements, 4 cm and 6 cm increments (page 11). Rule ALD4-CHT-001</t>
  </si>
  <si>
    <t xml:space="preserve">Medium height 160 to 172 cm. Transcribe the four columns used by the skirt block and chart lookup.</t>
  </si>
  <si>
    <t xml:space="preserve">Size</t>
  </si>
  <si>
    <t xml:space="preserve">Bust</t>
  </si>
  <si>
    <t xml:space="preserve">Bust mm (auto)</t>
  </si>
  <si>
    <t xml:space="preserve">Waist mm (auto)</t>
  </si>
  <si>
    <t xml:space="preserve">Hips mm (auto)</t>
  </si>
  <si>
    <t xml:space="preserve">Waist to hip mm (auto)</t>
  </si>
  <si>
    <t xml:space="preserve">Transcribed by</t>
  </si>
  <si>
    <t xml:space="preserve">Chart 2: UK body measurements, 5 cm increments (page 12). Rule ALD4-CHT-002</t>
  </si>
  <si>
    <t xml:space="preserve">Medium height. The 5 cm chart has no size 8.</t>
  </si>
  <si>
    <t xml:space="preserve">Chart 3: S M L XL high street sizes (page 12). Rule ALD4-CHT-003, release R2</t>
  </si>
  <si>
    <t xml:space="preserve">R2 only.</t>
  </si>
  <si>
    <t xml:space="preserve">S</t>
  </si>
  <si>
    <t xml:space="preserve">M</t>
  </si>
  <si>
    <t xml:space="preserve">L</t>
  </si>
  <si>
    <t xml:space="preserve">XL</t>
  </si>
  <si>
    <t xml:space="preserve">Short and tall vertical adjustments (page 11). Rule ALD4-CHT-004, release R2</t>
  </si>
  <si>
    <t xml:space="preserve">Short women adjustment</t>
  </si>
  <si>
    <t xml:space="preserve">Tall women adjustment</t>
  </si>
  <si>
    <t xml:space="preserve">Waist to knee</t>
  </si>
  <si>
    <t xml:space="preserve">Waist to floor</t>
  </si>
  <si>
    <t xml:space="preserve">Ref ID</t>
  </si>
  <si>
    <t xml:space="preserve">Required case</t>
  </si>
  <si>
    <t xml:space="preserve">Waist-to-hip source tag</t>
  </si>
  <si>
    <t xml:space="preserve">Bust (optional)</t>
  </si>
  <si>
    <t xml:space="preserve">Skirt length mm (auto)</t>
  </si>
  <si>
    <t xml:space="preserve">Adaptation preset</t>
  </si>
  <si>
    <t xml:space="preserve">Real consenting client (Y/N)</t>
  </si>
  <si>
    <t xml:space="preserve">Pattern maker</t>
  </si>
  <si>
    <t xml:space="preserve">Drafted on</t>
  </si>
  <si>
    <t xml:space="preserve">Edition used</t>
  </si>
  <si>
    <t xml:space="preserve">Scan or photo file</t>
  </si>
  <si>
    <t xml:space="preserve">Code output checksum</t>
  </si>
  <si>
    <t xml:space="preserve">Max deviation mm</t>
  </si>
  <si>
    <t xml:space="preserve">Result</t>
  </si>
  <si>
    <t xml:space="preserve">REF-01</t>
  </si>
  <si>
    <t xml:space="preserve">Book worked example (size 12 chart values)</t>
  </si>
  <si>
    <t xml:space="preserve">chart-derived</t>
  </si>
  <si>
    <t xml:space="preserve">N</t>
  </si>
  <si>
    <t xml:space="preserve">4th ed. (2004)</t>
  </si>
  <si>
    <t xml:space="preserve">Pending</t>
  </si>
  <si>
    <t xml:space="preserve">Chart values for the size used in the book's worked example (also SRS AT-13). Skirt length chosen by the pattern maker. Pre-filled as the example of expected format.</t>
  </si>
  <si>
    <t xml:space="preserve">REF-02</t>
  </si>
  <si>
    <t xml:space="preserve">Chart size, small end of the range</t>
  </si>
  <si>
    <t xml:space="preserve">REF-03</t>
  </si>
  <si>
    <t xml:space="preserve">Chart size, large end of the range</t>
  </si>
  <si>
    <t xml:space="preserve">REF-04</t>
  </si>
  <si>
    <t xml:space="preserve">Individual figure, proportions close to the chart</t>
  </si>
  <si>
    <t xml:space="preserve">REF-05</t>
  </si>
  <si>
    <t xml:space="preserve">Individual figure, waist small for hips, just inside the trigger (no widening)</t>
  </si>
  <si>
    <t xml:space="preserve">REF-06</t>
  </si>
  <si>
    <t xml:space="preserve">Individual figure, waist small for hips, beyond the trigger (widened darts)</t>
  </si>
  <si>
    <t xml:space="preserve">REF-07</t>
  </si>
  <si>
    <t xml:space="preserve">Short waist to hip, measured directly</t>
  </si>
  <si>
    <t xml:space="preserve">REF-08</t>
  </si>
  <si>
    <t xml:space="preserve">Long waist to hip, measured directly</t>
  </si>
  <si>
    <t xml:space="preserve">REF-09</t>
  </si>
  <si>
    <t xml:space="preserve">Individual figure, straight skirt adaptation preset</t>
  </si>
  <si>
    <t xml:space="preserve">REF-10</t>
  </si>
  <si>
    <t xml:space="preserve">Individual figure, extreme skirt length (short or long)</t>
  </si>
  <si>
    <t xml:space="preserve">Composition rules: ten cases covering the list above; at least three from real, consenting clients; every draft by hand from the same edition as the code; the pattern maker records the draft's own precision, which feeds the code-versus-hand tolerance on G0_signoff.</t>
  </si>
  <si>
    <t xml:space="preserve">Point no. (book figure)</t>
  </si>
  <si>
    <t xml:space="preserve">Landmark name (from figure)</t>
  </si>
  <si>
    <t xml:space="preserve">Horizontal increment (dx)</t>
  </si>
  <si>
    <t xml:space="preserve">Vertical increment (dy)</t>
  </si>
  <si>
    <t xml:space="preserve">dx mm (auto)</t>
  </si>
  <si>
    <t xml:space="preserve">dy mm (auto)</t>
  </si>
  <si>
    <t xml:space="preserve">Source page</t>
  </si>
  <si>
    <t xml:space="preserve">mm</t>
  </si>
  <si>
    <t xml:space="preserve">R2. Increments are per size step on the book's 5 cm chart. The mapping from point numbers to landmarks depends on the figure, so transcribe it from the diagram. Some points have no horizontal or vertical increment: leave blank.</t>
  </si>
  <si>
    <t xml:space="preserve">#</t>
  </si>
  <si>
    <t xml:space="preserve">Decision or approval item</t>
  </si>
  <si>
    <t xml:space="preserve">Owner</t>
  </si>
  <si>
    <t xml:space="preserve">Proposal or options</t>
  </si>
  <si>
    <t xml:space="preserve">Decision</t>
  </si>
  <si>
    <t xml:space="preserve">Linked rules</t>
  </si>
  <si>
    <t xml:space="preserve">Reference method and permission to use and cite</t>
  </si>
  <si>
    <t xml:space="preserve">Lead developer</t>
  </si>
  <si>
    <t xml:space="preserve">Method selected: Aldrich, 4th ed. Permission status tracked on G0_signoff</t>
  </si>
  <si>
    <t xml:space="preserve">All</t>
  </si>
  <si>
    <t xml:space="preserve">Measurement definitions and minimum set</t>
  </si>
  <si>
    <t xml:space="preserve">Four inputs: waist, hips, waist-to-hip, skirt length (bust optional, chart lookup only)</t>
  </si>
  <si>
    <t xml:space="preserve">ALD4-MEA-001 to 005</t>
  </si>
  <si>
    <t xml:space="preserve">Proposed</t>
  </si>
  <si>
    <t xml:space="preserve">Target population and size ranges</t>
  </si>
  <si>
    <t xml:space="preserve">Chart range sizes 8 to 26 known; target population unknown</t>
  </si>
  <si>
    <t xml:space="preserve">ALD4-CHT-001, 002</t>
  </si>
  <si>
    <t xml:space="preserve">Offline storage model and customer consent</t>
  </si>
  <si>
    <t xml:space="preserve">FR-037</t>
  </si>
  <si>
    <t xml:space="preserve">Reference printer and print tolerance</t>
  </si>
  <si>
    <t xml:space="preserve">FR-032</t>
  </si>
  <si>
    <t xml:space="preserve">Priority of native versus browser export</t>
  </si>
  <si>
    <t xml:space="preserve">FR-032, FR-033</t>
  </si>
  <si>
    <t xml:space="preserve">DXF dialect and compatible tools</t>
  </si>
  <si>
    <t xml:space="preserve">FR-034</t>
  </si>
  <si>
    <t xml:space="preserve">Initial host target and asset cap</t>
  </si>
  <si>
    <t xml:space="preserve">NFR-019</t>
  </si>
  <si>
    <t xml:space="preserve">Multi-language UI</t>
  </si>
  <si>
    <t xml:space="preserve">FR-038</t>
  </si>
  <si>
    <t xml:space="preserve">Formal ownership of fit validation (blocks G0)</t>
  </si>
  <si>
    <t xml:space="preserve">Name one qualified pattern maker as verifier</t>
  </si>
  <si>
    <t xml:space="preserve">Numeric interpretation of curves, notches, grainline</t>
  </si>
  <si>
    <t xml:space="preserve">Pattern maker with lead developer</t>
  </si>
  <si>
    <t xml:space="preserve">See ALD4-INT-001 to 008</t>
  </si>
  <si>
    <t xml:space="preserve">ALD4-INT-001 to 008</t>
  </si>
  <si>
    <t xml:space="preserve">Numeric condition for ALD4-FIT-001</t>
  </si>
  <si>
    <t xml:space="preserve">ALD4-FIT-001 to 004</t>
  </si>
  <si>
    <t xml:space="preserve">Default seam allowances</t>
  </si>
  <si>
    <t xml:space="preserve">Proposed side seam 15 mm, hem 30 mm, waist edge to decide</t>
  </si>
  <si>
    <t xml:space="preserve">ALD4-SA-001 to 003</t>
  </si>
  <si>
    <t xml:space="preserve">Chart size selection when bust is absent</t>
  </si>
  <si>
    <t xml:space="preserve">Select by hips; warn the user</t>
  </si>
  <si>
    <t xml:space="preserve">Default display units per quantity class</t>
  </si>
  <si>
    <t xml:space="preserve">Classes: body measurements, pattern dimensions, allowances and tolerances, fabric width, fabric length. Default cm for body, mm for allowances, m for fabric length</t>
  </si>
  <si>
    <t xml:space="preserve">Code-versus-hand-draft tolerance</t>
  </si>
  <si>
    <t xml:space="preserve">Set from the draft's own precision recorded on Reference_drafts</t>
  </si>
  <si>
    <t xml:space="preserve">NFR-014; AT-13</t>
  </si>
  <si>
    <t xml:space="preserve">G0 readiness (all formulas)</t>
  </si>
  <si>
    <t xml:space="preserve">R1 rules in register</t>
  </si>
  <si>
    <t xml:space="preserve">R1 rules Verified</t>
  </si>
  <si>
    <t xml:space="preserve">R1 rules Verified (share)</t>
  </si>
  <si>
    <t xml:space="preserve">R1 interpretations (kind I) in register</t>
  </si>
  <si>
    <t xml:space="preserve">R1 interpretations Verified</t>
  </si>
  <si>
    <t xml:space="preserve">R1 rules checked against the figure (Y)</t>
  </si>
  <si>
    <t xml:space="preserve">Reference drafts with result Pass</t>
  </si>
  <si>
    <t xml:space="preserve">Reference drafts from real consenting clients</t>
  </si>
  <si>
    <t xml:space="preserve">Decisions still Open</t>
  </si>
  <si>
    <t xml:space="preserve">Chart rows verified (EU and UK charts)</t>
  </si>
  <si>
    <t xml:space="preserve">G0 status</t>
  </si>
  <si>
    <t xml:space="preserve">Ready means: every R1 rule Verified, every R1 interpretation Verified, 10 reference drafts Pass, no Open decisions, and all 18 EU and UK chart rows verified. The verifier still makes the final call.</t>
  </si>
  <si>
    <t xml:space="preserve">Sign-off</t>
  </si>
  <si>
    <t xml:space="preserve">Verifier name</t>
  </si>
  <si>
    <t xml:space="preserve">Qualification and organisation</t>
  </si>
  <si>
    <t xml:space="preserve">Verifier statement</t>
  </si>
  <si>
    <t xml:space="preserve">I have checked the transcription, interpretations and reference drafts against the 4th edition.</t>
  </si>
  <si>
    <t xml:space="preserve">Verifier signature date</t>
  </si>
  <si>
    <t xml:space="preserve">Lead developer name</t>
  </si>
  <si>
    <t xml:space="preserve">Lead developer date</t>
  </si>
  <si>
    <t xml:space="preserve">Edition pin confirmed</t>
  </si>
  <si>
    <t xml:space="preserve">4th edition (2004), ISBN 1-4051-0278-0</t>
  </si>
  <si>
    <t xml:space="preserve">Source permission status</t>
  </si>
  <si>
    <t xml:space="preserve">Not requested</t>
  </si>
  <si>
    <t xml:space="preserve">Code-versus-hand-draft tolerance (mm)</t>
  </si>
  <si>
    <t xml:space="preserve">Rulebook version released</t>
  </si>
  <si>
    <t xml:space="preserve">1.0.0</t>
  </si>
  <si>
    <t xml:space="preserve">Millimetres per unit (exact by definition)</t>
  </si>
  <si>
    <t xml:space="preserve">Kind</t>
  </si>
  <si>
    <t xml:space="preserve">Yes/No</t>
  </si>
  <si>
    <t xml:space="preserve">Source tag</t>
  </si>
  <si>
    <t xml:space="preserve">Preset</t>
  </si>
  <si>
    <t xml:space="preserve">Permission</t>
  </si>
  <si>
    <t xml:space="preserve">Decision status</t>
  </si>
  <si>
    <t xml:space="preserve">measured</t>
  </si>
  <si>
    <t xml:space="preserve">Transcribed</t>
  </si>
  <si>
    <t xml:space="preserve">straight skirt</t>
  </si>
  <si>
    <t xml:space="preserve">Pass</t>
  </si>
  <si>
    <t xml:space="preserve">Requested</t>
  </si>
  <si>
    <t xml:space="preserve">m</t>
  </si>
  <si>
    <t xml:space="preserve">Decided</t>
  </si>
  <si>
    <t xml:space="preserve">estimated</t>
  </si>
  <si>
    <t xml:space="preserve">Fail</t>
  </si>
  <si>
    <t xml:space="preserve">Granted</t>
  </si>
  <si>
    <t xml:space="preserve">in</t>
  </si>
  <si>
    <t xml:space="preserve">Verified</t>
  </si>
  <si>
    <t xml:space="preserve">Declined</t>
  </si>
  <si>
    <t xml:space="preserve">ft</t>
  </si>
  <si>
    <t xml:space="preserve">Rejected</t>
  </si>
  <si>
    <t xml:space="preserve">yd</t>
  </si>
  <si>
    <t xml:space="preserve">N/A</t>
  </si>
  <si>
    <t xml:space="preserve">Source: unit factors are exact by international definition (1 in = 25.4 mm). Edit this sheet only to add a unit.</t>
  </si>
</sst>
</file>

<file path=xl/styles.xml><?xml version="1.0" encoding="utf-8"?>
<styleSheet xmlns="http://schemas.openxmlformats.org/spreadsheetml/2006/main">
  <numFmts count="4">
    <numFmt numFmtId="164" formatCode="General"/>
    <numFmt numFmtId="165" formatCode="0.0##"/>
    <numFmt numFmtId="166" formatCode="General"/>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name val="Arial"/>
      <family val="0"/>
      <charset val="1"/>
    </font>
    <font>
      <i val="true"/>
      <sz val="9"/>
      <name val="Arial"/>
      <family val="0"/>
      <charset val="1"/>
    </font>
    <font>
      <b val="true"/>
      <sz val="12"/>
      <name val="Arial"/>
      <family val="0"/>
      <charset val="1"/>
    </font>
  </fonts>
  <fills count="6">
    <fill>
      <patternFill patternType="none"/>
    </fill>
    <fill>
      <patternFill patternType="gray125"/>
    </fill>
    <fill>
      <patternFill patternType="solid">
        <fgColor rgb="FF3C3C3C"/>
        <bgColor rgb="FF333300"/>
      </patternFill>
    </fill>
    <fill>
      <patternFill patternType="solid">
        <fgColor rgb="FFE7E6E6"/>
        <bgColor rgb="FFF2F2F2"/>
      </patternFill>
    </fill>
    <fill>
      <patternFill patternType="solid">
        <fgColor rgb="FFFFFFCC"/>
        <bgColor rgb="FFFFFFFF"/>
      </patternFill>
    </fill>
    <fill>
      <patternFill patternType="solid">
        <fgColor rgb="FFF2F2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5" fillId="5" borderId="1" xfId="0" applyFont="true" applyBorder="true" applyAlignment="true" applyProtection="false">
      <alignment horizontal="left" vertical="bottom" textRotation="0" wrapText="false" indent="0" shrinkToFit="false"/>
      <protection locked="true" hidden="false"/>
    </xf>
    <xf numFmtId="167" fontId="5" fillId="5" borderId="1" xfId="0" applyFont="true" applyBorder="tru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C3C3C"/>
          <bgColor rgb="FF000000"/>
        </patternFill>
      </fill>
    </dxf>
    <dxf>
      <fill>
        <patternFill patternType="solid">
          <fgColor rgb="FFE7E6E6"/>
          <bgColor rgb="FF000000"/>
        </patternFill>
      </fill>
    </dxf>
    <dxf>
      <fill>
        <patternFill patternType="solid">
          <fgColor rgb="FFFFFFCC"/>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C3C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23.25" hidden="false" customHeight="true" outlineLevel="0" collapsed="false">
      <c r="A5" s="3" t="s">
        <v>3</v>
      </c>
    </row>
    <row r="6" customFormat="false" ht="15" hidden="false" customHeight="true" outlineLevel="0" collapsed="false">
      <c r="A6" s="3"/>
    </row>
    <row r="7" customFormat="false" ht="15" hidden="false" customHeight="true" outlineLevel="0" collapsed="false">
      <c r="A7" s="4" t="s">
        <v>4</v>
      </c>
    </row>
    <row r="8" customFormat="false" ht="15" hidden="false" customHeight="true" outlineLevel="0" collapsed="false">
      <c r="A8" s="3" t="s">
        <v>5</v>
      </c>
    </row>
    <row r="9" customFormat="false" ht="23.25" hidden="false" customHeight="true" outlineLevel="0" collapsed="false">
      <c r="A9" s="3" t="s">
        <v>6</v>
      </c>
    </row>
    <row r="10" customFormat="false" ht="23.25" hidden="false" customHeight="true" outlineLevel="0" collapsed="false">
      <c r="A10" s="3" t="s">
        <v>7</v>
      </c>
    </row>
    <row r="11" customFormat="false" ht="23.25" hidden="false" customHeight="true" outlineLevel="0" collapsed="false">
      <c r="A11" s="3" t="s">
        <v>8</v>
      </c>
    </row>
    <row r="12" customFormat="false" ht="15" hidden="false" customHeight="true" outlineLevel="0" collapsed="false">
      <c r="A12" s="3" t="s">
        <v>9</v>
      </c>
    </row>
    <row r="13" customFormat="false" ht="23.25" hidden="false" customHeight="true" outlineLevel="0" collapsed="false">
      <c r="A13" s="3" t="s">
        <v>10</v>
      </c>
    </row>
    <row r="14" customFormat="false" ht="15" hidden="false" customHeight="true" outlineLevel="0" collapsed="false">
      <c r="A14" s="3"/>
    </row>
    <row r="15" customFormat="false" ht="15" hidden="false" customHeight="true" outlineLevel="0" collapsed="false">
      <c r="A15" s="4" t="s">
        <v>11</v>
      </c>
    </row>
    <row r="16" customFormat="false" ht="23.25" hidden="false" customHeight="true" outlineLevel="0" collapsed="false">
      <c r="A16" s="3" t="s">
        <v>12</v>
      </c>
    </row>
    <row r="17" customFormat="false" ht="15" hidden="false" customHeight="true" outlineLevel="0" collapsed="false">
      <c r="A17" s="3"/>
    </row>
    <row r="18" customFormat="false" ht="15" hidden="false" customHeight="true" outlineLevel="0" collapsed="false">
      <c r="A18" s="4" t="s">
        <v>13</v>
      </c>
    </row>
    <row r="19" customFormat="false" ht="15" hidden="false" customHeight="true" outlineLevel="0" collapsed="false">
      <c r="A19" s="3" t="s">
        <v>14</v>
      </c>
    </row>
    <row r="20" customFormat="false" ht="15" hidden="false" customHeight="true" outlineLevel="0" collapsed="false">
      <c r="A20" s="3"/>
    </row>
    <row r="21" customFormat="false" ht="15" hidden="false" customHeight="true" outlineLevel="0" collapsed="false">
      <c r="A21" s="4" t="s">
        <v>15</v>
      </c>
    </row>
    <row r="22" customFormat="false" ht="15" hidden="false" customHeight="true" outlineLevel="0" collapsed="false">
      <c r="A22" s="3" t="s">
        <v>16</v>
      </c>
    </row>
    <row r="23" customFormat="false" ht="15" hidden="false" customHeight="true" outlineLevel="0" collapsed="false">
      <c r="A23" s="3" t="s">
        <v>17</v>
      </c>
    </row>
    <row r="24" customFormat="false" ht="15" hidden="false" customHeight="true" outlineLevel="0" collapsed="false">
      <c r="A24" s="3" t="s">
        <v>18</v>
      </c>
    </row>
    <row r="25" customFormat="false" ht="15" hidden="false" customHeight="true" outlineLevel="0" collapsed="false">
      <c r="A25" s="3" t="s">
        <v>19</v>
      </c>
    </row>
    <row r="26" customFormat="false" ht="15" hidden="false" customHeight="true" outlineLevel="0" collapsed="false">
      <c r="A26" s="3" t="s">
        <v>20</v>
      </c>
    </row>
    <row r="27" customFormat="false" ht="15" hidden="false" customHeight="true" outlineLevel="0" collapsed="false">
      <c r="A27" s="3" t="s">
        <v>21</v>
      </c>
    </row>
    <row r="28" customFormat="false" ht="15" hidden="false" customHeight="true" outlineLevel="0" collapsed="false">
      <c r="A28" s="3" t="s">
        <v>22</v>
      </c>
    </row>
    <row r="29" customFormat="false" ht="15" hidden="false" customHeight="true" outlineLevel="0" collapsed="false">
      <c r="A29" s="3"/>
    </row>
    <row r="30" customFormat="false" ht="15" hidden="false" customHeight="true" outlineLevel="0" collapsed="false">
      <c r="A30" s="4" t="s">
        <v>23</v>
      </c>
    </row>
    <row r="31" customFormat="false" ht="23.25" hidden="false" customHeight="true" outlineLevel="0" collapsed="false">
      <c r="A31"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8"/>
    <col collapsed="false" customWidth="true" hidden="false" outlineLevel="0" max="4" min="4" style="1" width="26"/>
    <col collapsed="false" customWidth="true" hidden="false" outlineLevel="0" max="5" min="5" style="1" width="46"/>
    <col collapsed="false" customWidth="true" hidden="false" outlineLevel="0" max="6" min="6" style="1" width="22"/>
    <col collapsed="false" customWidth="true" hidden="false" outlineLevel="0" max="7" min="7" style="1" width="12"/>
    <col collapsed="false" customWidth="true" hidden="false" outlineLevel="0" max="9" min="8" style="1" width="9"/>
    <col collapsed="false" customWidth="true" hidden="false" outlineLevel="0" max="10" min="10" style="1" width="34"/>
    <col collapsed="false" customWidth="true" hidden="false" outlineLevel="0" max="11" min="11" style="1" width="12"/>
    <col collapsed="false" customWidth="true" hidden="false" outlineLevel="0" max="12" min="12" style="1" width="9"/>
    <col collapsed="false" customWidth="true" hidden="false" outlineLevel="0" max="14" min="13" style="1" width="13"/>
    <col collapsed="false" customWidth="true" hidden="false" outlineLevel="0" max="15" min="15" style="1" width="16"/>
    <col collapsed="false" customWidth="true" hidden="false" outlineLevel="0" max="17" min="16" style="1" width="12"/>
    <col collapsed="false" customWidth="true" hidden="false" outlineLevel="0" max="18" min="18" style="1" width="14"/>
    <col collapsed="false" customWidth="true" hidden="false" outlineLevel="0" max="19" min="19" style="1" width="30"/>
  </cols>
  <sheetData>
    <row r="1" customFormat="false" ht="42" hidden="false" customHeight="true" outlineLevel="0" collapsed="false">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c r="P1" s="5" t="s">
        <v>40</v>
      </c>
      <c r="Q1" s="5" t="s">
        <v>41</v>
      </c>
      <c r="R1" s="5" t="s">
        <v>42</v>
      </c>
      <c r="S1" s="5" t="s">
        <v>43</v>
      </c>
    </row>
    <row r="2" customFormat="false" ht="23.25" hidden="false" customHeight="true" outlineLevel="0" collapsed="false">
      <c r="A2" s="6" t="s">
        <v>44</v>
      </c>
      <c r="B2" s="6" t="s">
        <v>45</v>
      </c>
      <c r="C2" s="6" t="s">
        <v>46</v>
      </c>
      <c r="D2" s="6" t="s">
        <v>47</v>
      </c>
      <c r="E2" s="6" t="s">
        <v>48</v>
      </c>
      <c r="F2" s="6" t="s">
        <v>49</v>
      </c>
      <c r="G2" s="6" t="s">
        <v>50</v>
      </c>
      <c r="H2" s="6" t="s">
        <v>51</v>
      </c>
      <c r="I2" s="6" t="s">
        <v>52</v>
      </c>
      <c r="J2" s="6" t="s">
        <v>53</v>
      </c>
      <c r="K2" s="6" t="n">
        <v>2</v>
      </c>
      <c r="L2" s="6" t="s">
        <v>54</v>
      </c>
      <c r="M2" s="7" t="n">
        <f aca="false">IF(AND(ISNUMBER(K2),L2&lt;&gt;""),K2*INDEX(Lists!$B$2:$B$7,MATCH(L2,Lists!$A$2:$A$7,0)),"")</f>
        <v>20</v>
      </c>
      <c r="N2" s="6" t="s">
        <v>55</v>
      </c>
      <c r="O2" s="6" t="s">
        <v>56</v>
      </c>
      <c r="P2" s="6" t="s">
        <v>57</v>
      </c>
      <c r="Q2" s="6" t="s">
        <v>58</v>
      </c>
      <c r="R2" s="6" t="s">
        <v>59</v>
      </c>
      <c r="S2" s="6" t="s">
        <v>60</v>
      </c>
    </row>
    <row r="3" customFormat="false" ht="23.25" hidden="false" customHeight="true" outlineLevel="0" collapsed="false">
      <c r="A3" s="8" t="s">
        <v>61</v>
      </c>
      <c r="B3" s="8" t="s">
        <v>45</v>
      </c>
      <c r="C3" s="8" t="s">
        <v>62</v>
      </c>
      <c r="D3" s="8" t="s">
        <v>63</v>
      </c>
      <c r="E3" s="8" t="s">
        <v>64</v>
      </c>
      <c r="F3" s="8" t="s">
        <v>49</v>
      </c>
      <c r="G3" s="8" t="s">
        <v>50</v>
      </c>
      <c r="H3" s="8" t="s">
        <v>51</v>
      </c>
      <c r="I3" s="8" t="s">
        <v>52</v>
      </c>
      <c r="J3" s="9"/>
      <c r="K3" s="9"/>
      <c r="L3" s="9" t="s">
        <v>54</v>
      </c>
      <c r="M3" s="10" t="str">
        <f aca="false">IF(AND(ISNUMBER(K3),L3&lt;&gt;""),K3*INDEX(Lists!$B$2:$B$7,MATCH(L3,Lists!$A$2:$A$7,0)),"")</f>
        <v/>
      </c>
      <c r="N3" s="9" t="s">
        <v>65</v>
      </c>
      <c r="O3" s="9"/>
      <c r="P3" s="9"/>
      <c r="Q3" s="9"/>
      <c r="R3" s="9"/>
      <c r="S3" s="9"/>
    </row>
    <row r="4" customFormat="false" ht="23.25" hidden="false" customHeight="true" outlineLevel="0" collapsed="false">
      <c r="A4" s="8" t="s">
        <v>66</v>
      </c>
      <c r="B4" s="8" t="s">
        <v>45</v>
      </c>
      <c r="C4" s="8" t="s">
        <v>62</v>
      </c>
      <c r="D4" s="8" t="s">
        <v>67</v>
      </c>
      <c r="E4" s="8" t="s">
        <v>68</v>
      </c>
      <c r="F4" s="8" t="s">
        <v>61</v>
      </c>
      <c r="G4" s="8" t="s">
        <v>50</v>
      </c>
      <c r="H4" s="8" t="s">
        <v>51</v>
      </c>
      <c r="I4" s="8" t="s">
        <v>52</v>
      </c>
      <c r="J4" s="9"/>
      <c r="K4" s="9"/>
      <c r="L4" s="9" t="s">
        <v>54</v>
      </c>
      <c r="M4" s="10" t="str">
        <f aca="false">IF(AND(ISNUMBER(K4),L4&lt;&gt;""),K4*INDEX(Lists!$B$2:$B$7,MATCH(L4,Lists!$A$2:$A$7,0)),"")</f>
        <v/>
      </c>
      <c r="N4" s="9" t="s">
        <v>65</v>
      </c>
      <c r="O4" s="9"/>
      <c r="P4" s="9"/>
      <c r="Q4" s="9"/>
      <c r="R4" s="9"/>
      <c r="S4" s="9"/>
    </row>
    <row r="5" customFormat="false" ht="15" hidden="false" customHeight="true" outlineLevel="0" collapsed="false">
      <c r="A5" s="8" t="s">
        <v>69</v>
      </c>
      <c r="B5" s="8" t="s">
        <v>45</v>
      </c>
      <c r="C5" s="8" t="s">
        <v>62</v>
      </c>
      <c r="D5" s="8" t="s">
        <v>70</v>
      </c>
      <c r="E5" s="8" t="s">
        <v>71</v>
      </c>
      <c r="F5" s="8" t="s">
        <v>72</v>
      </c>
      <c r="G5" s="8" t="s">
        <v>50</v>
      </c>
      <c r="H5" s="8" t="s">
        <v>51</v>
      </c>
      <c r="I5" s="8" t="s">
        <v>52</v>
      </c>
      <c r="J5" s="9"/>
      <c r="K5" s="9"/>
      <c r="L5" s="9" t="s">
        <v>54</v>
      </c>
      <c r="M5" s="10" t="str">
        <f aca="false">IF(AND(ISNUMBER(K5),L5&lt;&gt;""),K5*INDEX(Lists!$B$2:$B$7,MATCH(L5,Lists!$A$2:$A$7,0)),"")</f>
        <v/>
      </c>
      <c r="N5" s="9" t="s">
        <v>65</v>
      </c>
      <c r="O5" s="9"/>
      <c r="P5" s="9"/>
      <c r="Q5" s="9"/>
      <c r="R5" s="9"/>
      <c r="S5" s="9"/>
    </row>
    <row r="6" customFormat="false" ht="15" hidden="false" customHeight="true" outlineLevel="0" collapsed="false">
      <c r="A6" s="8" t="s">
        <v>73</v>
      </c>
      <c r="B6" s="8" t="s">
        <v>45</v>
      </c>
      <c r="C6" s="8" t="s">
        <v>62</v>
      </c>
      <c r="D6" s="8" t="s">
        <v>74</v>
      </c>
      <c r="E6" s="8" t="s">
        <v>75</v>
      </c>
      <c r="F6" s="8" t="s">
        <v>76</v>
      </c>
      <c r="G6" s="8" t="s">
        <v>50</v>
      </c>
      <c r="H6" s="8" t="s">
        <v>51</v>
      </c>
      <c r="I6" s="8" t="s">
        <v>52</v>
      </c>
      <c r="J6" s="9"/>
      <c r="K6" s="9"/>
      <c r="L6" s="9" t="s">
        <v>54</v>
      </c>
      <c r="M6" s="10" t="str">
        <f aca="false">IF(AND(ISNUMBER(K6),L6&lt;&gt;""),K6*INDEX(Lists!$B$2:$B$7,MATCH(L6,Lists!$A$2:$A$7,0)),"")</f>
        <v/>
      </c>
      <c r="N6" s="9" t="s">
        <v>65</v>
      </c>
      <c r="O6" s="9"/>
      <c r="P6" s="9"/>
      <c r="Q6" s="9"/>
      <c r="R6" s="9"/>
      <c r="S6" s="9"/>
    </row>
    <row r="7" customFormat="false" ht="23.25" hidden="false" customHeight="true" outlineLevel="0" collapsed="false">
      <c r="A7" s="8" t="s">
        <v>77</v>
      </c>
      <c r="B7" s="8" t="s">
        <v>45</v>
      </c>
      <c r="C7" s="8" t="s">
        <v>46</v>
      </c>
      <c r="D7" s="8" t="s">
        <v>78</v>
      </c>
      <c r="E7" s="8" t="s">
        <v>79</v>
      </c>
      <c r="F7" s="8" t="s">
        <v>80</v>
      </c>
      <c r="G7" s="8" t="s">
        <v>50</v>
      </c>
      <c r="H7" s="8" t="s">
        <v>51</v>
      </c>
      <c r="I7" s="8" t="s">
        <v>52</v>
      </c>
      <c r="J7" s="9"/>
      <c r="K7" s="9"/>
      <c r="L7" s="9" t="s">
        <v>54</v>
      </c>
      <c r="M7" s="10" t="str">
        <f aca="false">IF(AND(ISNUMBER(K7),L7&lt;&gt;""),K7*INDEX(Lists!$B$2:$B$7,MATCH(L7,Lists!$A$2:$A$7,0)),"")</f>
        <v/>
      </c>
      <c r="N7" s="9" t="s">
        <v>65</v>
      </c>
      <c r="O7" s="9"/>
      <c r="P7" s="9"/>
      <c r="Q7" s="9"/>
      <c r="R7" s="9"/>
      <c r="S7" s="9"/>
    </row>
    <row r="8" customFormat="false" ht="23.25" hidden="false" customHeight="true" outlineLevel="0" collapsed="false">
      <c r="A8" s="8" t="s">
        <v>81</v>
      </c>
      <c r="B8" s="8" t="s">
        <v>45</v>
      </c>
      <c r="C8" s="8" t="s">
        <v>46</v>
      </c>
      <c r="D8" s="8" t="s">
        <v>82</v>
      </c>
      <c r="E8" s="8" t="s">
        <v>83</v>
      </c>
      <c r="F8" s="8" t="s">
        <v>84</v>
      </c>
      <c r="G8" s="8" t="s">
        <v>50</v>
      </c>
      <c r="H8" s="8" t="s">
        <v>51</v>
      </c>
      <c r="I8" s="8" t="s">
        <v>52</v>
      </c>
      <c r="J8" s="9"/>
      <c r="K8" s="9"/>
      <c r="L8" s="9" t="s">
        <v>54</v>
      </c>
      <c r="M8" s="10" t="str">
        <f aca="false">IF(AND(ISNUMBER(K8),L8&lt;&gt;""),K8*INDEX(Lists!$B$2:$B$7,MATCH(L8,Lists!$A$2:$A$7,0)),"")</f>
        <v/>
      </c>
      <c r="N8" s="9" t="s">
        <v>65</v>
      </c>
      <c r="O8" s="9"/>
      <c r="P8" s="9"/>
      <c r="Q8" s="9"/>
      <c r="R8" s="9"/>
      <c r="S8" s="9"/>
    </row>
    <row r="9" customFormat="false" ht="23.25" hidden="false" customHeight="true" outlineLevel="0" collapsed="false">
      <c r="A9" s="8" t="s">
        <v>85</v>
      </c>
      <c r="B9" s="8" t="s">
        <v>45</v>
      </c>
      <c r="C9" s="8" t="s">
        <v>46</v>
      </c>
      <c r="D9" s="8" t="s">
        <v>86</v>
      </c>
      <c r="E9" s="8" t="s">
        <v>87</v>
      </c>
      <c r="F9" s="8" t="s">
        <v>88</v>
      </c>
      <c r="G9" s="8" t="s">
        <v>50</v>
      </c>
      <c r="H9" s="8" t="s">
        <v>51</v>
      </c>
      <c r="I9" s="8" t="s">
        <v>52</v>
      </c>
      <c r="J9" s="9"/>
      <c r="K9" s="9"/>
      <c r="L9" s="9" t="s">
        <v>54</v>
      </c>
      <c r="M9" s="10" t="str">
        <f aca="false">IF(AND(ISNUMBER(K9),L9&lt;&gt;""),K9*INDEX(Lists!$B$2:$B$7,MATCH(L9,Lists!$A$2:$A$7,0)),"")</f>
        <v/>
      </c>
      <c r="N9" s="9" t="s">
        <v>65</v>
      </c>
      <c r="O9" s="9"/>
      <c r="P9" s="9"/>
      <c r="Q9" s="9"/>
      <c r="R9" s="9"/>
      <c r="S9" s="9"/>
    </row>
    <row r="10" customFormat="false" ht="23.25" hidden="false" customHeight="true" outlineLevel="0" collapsed="false">
      <c r="A10" s="8" t="s">
        <v>89</v>
      </c>
      <c r="B10" s="8" t="s">
        <v>45</v>
      </c>
      <c r="C10" s="8" t="s">
        <v>46</v>
      </c>
      <c r="D10" s="8" t="s">
        <v>90</v>
      </c>
      <c r="E10" s="8" t="s">
        <v>91</v>
      </c>
      <c r="F10" s="8" t="s">
        <v>92</v>
      </c>
      <c r="G10" s="8" t="s">
        <v>50</v>
      </c>
      <c r="H10" s="8" t="s">
        <v>51</v>
      </c>
      <c r="I10" s="8" t="s">
        <v>52</v>
      </c>
      <c r="J10" s="9"/>
      <c r="K10" s="9"/>
      <c r="L10" s="9" t="s">
        <v>54</v>
      </c>
      <c r="M10" s="10" t="str">
        <f aca="false">IF(AND(ISNUMBER(K10),L10&lt;&gt;""),K10*INDEX(Lists!$B$2:$B$7,MATCH(L10,Lists!$A$2:$A$7,0)),"")</f>
        <v/>
      </c>
      <c r="N10" s="9" t="s">
        <v>65</v>
      </c>
      <c r="O10" s="9"/>
      <c r="P10" s="9"/>
      <c r="Q10" s="9"/>
      <c r="R10" s="9"/>
      <c r="S10" s="9"/>
    </row>
    <row r="11" customFormat="false" ht="23.25" hidden="false" customHeight="true" outlineLevel="0" collapsed="false">
      <c r="A11" s="8" t="s">
        <v>93</v>
      </c>
      <c r="B11" s="8" t="s">
        <v>45</v>
      </c>
      <c r="C11" s="8" t="s">
        <v>46</v>
      </c>
      <c r="D11" s="8" t="s">
        <v>94</v>
      </c>
      <c r="E11" s="8" t="s">
        <v>95</v>
      </c>
      <c r="F11" s="8" t="s">
        <v>89</v>
      </c>
      <c r="G11" s="8" t="s">
        <v>50</v>
      </c>
      <c r="H11" s="8" t="s">
        <v>51</v>
      </c>
      <c r="I11" s="8" t="s">
        <v>52</v>
      </c>
      <c r="J11" s="9"/>
      <c r="K11" s="9"/>
      <c r="L11" s="9" t="s">
        <v>54</v>
      </c>
      <c r="M11" s="10" t="str">
        <f aca="false">IF(AND(ISNUMBER(K11),L11&lt;&gt;""),K11*INDEX(Lists!$B$2:$B$7,MATCH(L11,Lists!$A$2:$A$7,0)),"")</f>
        <v/>
      </c>
      <c r="N11" s="9" t="s">
        <v>65</v>
      </c>
      <c r="O11" s="9"/>
      <c r="P11" s="9"/>
      <c r="Q11" s="9"/>
      <c r="R11" s="9"/>
      <c r="S11" s="9"/>
    </row>
    <row r="12" customFormat="false" ht="15" hidden="false" customHeight="true" outlineLevel="0" collapsed="false">
      <c r="A12" s="8" t="s">
        <v>96</v>
      </c>
      <c r="B12" s="8" t="s">
        <v>45</v>
      </c>
      <c r="C12" s="8" t="s">
        <v>46</v>
      </c>
      <c r="D12" s="8" t="s">
        <v>97</v>
      </c>
      <c r="E12" s="8" t="s">
        <v>98</v>
      </c>
      <c r="F12" s="8" t="s">
        <v>93</v>
      </c>
      <c r="G12" s="8" t="s">
        <v>50</v>
      </c>
      <c r="H12" s="8" t="s">
        <v>51</v>
      </c>
      <c r="I12" s="8" t="s">
        <v>52</v>
      </c>
      <c r="J12" s="9"/>
      <c r="K12" s="9"/>
      <c r="L12" s="9" t="s">
        <v>54</v>
      </c>
      <c r="M12" s="10" t="str">
        <f aca="false">IF(AND(ISNUMBER(K12),L12&lt;&gt;""),K12*INDEX(Lists!$B$2:$B$7,MATCH(L12,Lists!$A$2:$A$7,0)),"")</f>
        <v/>
      </c>
      <c r="N12" s="9" t="s">
        <v>65</v>
      </c>
      <c r="O12" s="9"/>
      <c r="P12" s="9"/>
      <c r="Q12" s="9"/>
      <c r="R12" s="9"/>
      <c r="S12" s="9"/>
    </row>
    <row r="13" customFormat="false" ht="15" hidden="false" customHeight="true" outlineLevel="0" collapsed="false">
      <c r="A13" s="8" t="s">
        <v>99</v>
      </c>
      <c r="B13" s="8" t="s">
        <v>45</v>
      </c>
      <c r="C13" s="8" t="s">
        <v>46</v>
      </c>
      <c r="D13" s="8" t="s">
        <v>100</v>
      </c>
      <c r="E13" s="8" t="s">
        <v>101</v>
      </c>
      <c r="F13" s="8" t="s">
        <v>93</v>
      </c>
      <c r="G13" s="8" t="s">
        <v>50</v>
      </c>
      <c r="H13" s="8" t="s">
        <v>51</v>
      </c>
      <c r="I13" s="8" t="s">
        <v>52</v>
      </c>
      <c r="J13" s="9"/>
      <c r="K13" s="9"/>
      <c r="L13" s="9" t="s">
        <v>54</v>
      </c>
      <c r="M13" s="10" t="str">
        <f aca="false">IF(AND(ISNUMBER(K13),L13&lt;&gt;""),K13*INDEX(Lists!$B$2:$B$7,MATCH(L13,Lists!$A$2:$A$7,0)),"")</f>
        <v/>
      </c>
      <c r="N13" s="9" t="s">
        <v>65</v>
      </c>
      <c r="O13" s="9"/>
      <c r="P13" s="9"/>
      <c r="Q13" s="9"/>
      <c r="R13" s="9"/>
      <c r="S13" s="9"/>
    </row>
    <row r="14" customFormat="false" ht="15" hidden="false" customHeight="true" outlineLevel="0" collapsed="false">
      <c r="A14" s="8" t="s">
        <v>102</v>
      </c>
      <c r="B14" s="8" t="s">
        <v>45</v>
      </c>
      <c r="C14" s="8" t="s">
        <v>46</v>
      </c>
      <c r="D14" s="8" t="s">
        <v>103</v>
      </c>
      <c r="E14" s="8" t="s">
        <v>104</v>
      </c>
      <c r="F14" s="8" t="s">
        <v>105</v>
      </c>
      <c r="G14" s="8" t="s">
        <v>50</v>
      </c>
      <c r="H14" s="8" t="s">
        <v>51</v>
      </c>
      <c r="I14" s="8" t="s">
        <v>52</v>
      </c>
      <c r="J14" s="9"/>
      <c r="K14" s="9"/>
      <c r="L14" s="9" t="s">
        <v>54</v>
      </c>
      <c r="M14" s="10" t="str">
        <f aca="false">IF(AND(ISNUMBER(K14),L14&lt;&gt;""),K14*INDEX(Lists!$B$2:$B$7,MATCH(L14,Lists!$A$2:$A$7,0)),"")</f>
        <v/>
      </c>
      <c r="N14" s="9" t="s">
        <v>65</v>
      </c>
      <c r="O14" s="9"/>
      <c r="P14" s="9"/>
      <c r="Q14" s="9"/>
      <c r="R14" s="9"/>
      <c r="S14" s="9"/>
    </row>
    <row r="15" customFormat="false" ht="15" hidden="false" customHeight="true" outlineLevel="0" collapsed="false">
      <c r="A15" s="8" t="s">
        <v>106</v>
      </c>
      <c r="B15" s="8" t="s">
        <v>45</v>
      </c>
      <c r="C15" s="8" t="s">
        <v>107</v>
      </c>
      <c r="D15" s="8" t="s">
        <v>108</v>
      </c>
      <c r="E15" s="8" t="s">
        <v>109</v>
      </c>
      <c r="F15" s="8" t="s">
        <v>80</v>
      </c>
      <c r="G15" s="8" t="s">
        <v>50</v>
      </c>
      <c r="H15" s="8" t="s">
        <v>51</v>
      </c>
      <c r="I15" s="8" t="s">
        <v>52</v>
      </c>
      <c r="J15" s="9"/>
      <c r="K15" s="9"/>
      <c r="L15" s="9" t="s">
        <v>54</v>
      </c>
      <c r="M15" s="10" t="str">
        <f aca="false">IF(AND(ISNUMBER(K15),L15&lt;&gt;""),K15*INDEX(Lists!$B$2:$B$7,MATCH(L15,Lists!$A$2:$A$7,0)),"")</f>
        <v/>
      </c>
      <c r="N15" s="9" t="s">
        <v>65</v>
      </c>
      <c r="O15" s="9"/>
      <c r="P15" s="9"/>
      <c r="Q15" s="9"/>
      <c r="R15" s="9"/>
      <c r="S15" s="9"/>
    </row>
    <row r="16" customFormat="false" ht="23.25" hidden="false" customHeight="true" outlineLevel="0" collapsed="false">
      <c r="A16" s="8" t="s">
        <v>110</v>
      </c>
      <c r="B16" s="8" t="s">
        <v>45</v>
      </c>
      <c r="C16" s="8" t="s">
        <v>107</v>
      </c>
      <c r="D16" s="8" t="s">
        <v>111</v>
      </c>
      <c r="E16" s="8" t="s">
        <v>87</v>
      </c>
      <c r="F16" s="8" t="s">
        <v>88</v>
      </c>
      <c r="G16" s="8" t="s">
        <v>50</v>
      </c>
      <c r="H16" s="8" t="s">
        <v>51</v>
      </c>
      <c r="I16" s="8" t="s">
        <v>52</v>
      </c>
      <c r="J16" s="9"/>
      <c r="K16" s="9"/>
      <c r="L16" s="9" t="s">
        <v>54</v>
      </c>
      <c r="M16" s="10" t="str">
        <f aca="false">IF(AND(ISNUMBER(K16),L16&lt;&gt;""),K16*INDEX(Lists!$B$2:$B$7,MATCH(L16,Lists!$A$2:$A$7,0)),"")</f>
        <v/>
      </c>
      <c r="N16" s="9" t="s">
        <v>65</v>
      </c>
      <c r="O16" s="9"/>
      <c r="P16" s="9"/>
      <c r="Q16" s="9"/>
      <c r="R16" s="9"/>
      <c r="S16" s="9"/>
    </row>
    <row r="17" customFormat="false" ht="23.25" hidden="false" customHeight="true" outlineLevel="0" collapsed="false">
      <c r="A17" s="8" t="s">
        <v>112</v>
      </c>
      <c r="B17" s="8" t="s">
        <v>45</v>
      </c>
      <c r="C17" s="8" t="s">
        <v>107</v>
      </c>
      <c r="D17" s="8" t="s">
        <v>90</v>
      </c>
      <c r="E17" s="8" t="s">
        <v>91</v>
      </c>
      <c r="F17" s="8" t="s">
        <v>113</v>
      </c>
      <c r="G17" s="8" t="s">
        <v>50</v>
      </c>
      <c r="H17" s="8" t="s">
        <v>51</v>
      </c>
      <c r="I17" s="8" t="s">
        <v>52</v>
      </c>
      <c r="J17" s="9"/>
      <c r="K17" s="9"/>
      <c r="L17" s="9" t="s">
        <v>54</v>
      </c>
      <c r="M17" s="10" t="str">
        <f aca="false">IF(AND(ISNUMBER(K17),L17&lt;&gt;""),K17*INDEX(Lists!$B$2:$B$7,MATCH(L17,Lists!$A$2:$A$7,0)),"")</f>
        <v/>
      </c>
      <c r="N17" s="9" t="s">
        <v>65</v>
      </c>
      <c r="O17" s="9"/>
      <c r="P17" s="9"/>
      <c r="Q17" s="9"/>
      <c r="R17" s="9"/>
      <c r="S17" s="9"/>
    </row>
    <row r="18" customFormat="false" ht="15" hidden="false" customHeight="true" outlineLevel="0" collapsed="false">
      <c r="A18" s="8" t="s">
        <v>114</v>
      </c>
      <c r="B18" s="8" t="s">
        <v>45</v>
      </c>
      <c r="C18" s="8" t="s">
        <v>107</v>
      </c>
      <c r="D18" s="8" t="s">
        <v>115</v>
      </c>
      <c r="E18" s="8" t="s">
        <v>116</v>
      </c>
      <c r="F18" s="8" t="s">
        <v>112</v>
      </c>
      <c r="G18" s="8" t="s">
        <v>50</v>
      </c>
      <c r="H18" s="8" t="s">
        <v>51</v>
      </c>
      <c r="I18" s="8" t="s">
        <v>52</v>
      </c>
      <c r="J18" s="9"/>
      <c r="K18" s="9"/>
      <c r="L18" s="9" t="s">
        <v>54</v>
      </c>
      <c r="M18" s="10" t="str">
        <f aca="false">IF(AND(ISNUMBER(K18),L18&lt;&gt;""),K18*INDEX(Lists!$B$2:$B$7,MATCH(L18,Lists!$A$2:$A$7,0)),"")</f>
        <v/>
      </c>
      <c r="N18" s="9" t="s">
        <v>65</v>
      </c>
      <c r="O18" s="9"/>
      <c r="P18" s="9"/>
      <c r="Q18" s="9"/>
      <c r="R18" s="9"/>
      <c r="S18" s="9"/>
    </row>
    <row r="19" customFormat="false" ht="15" hidden="false" customHeight="true" outlineLevel="0" collapsed="false">
      <c r="A19" s="8" t="s">
        <v>117</v>
      </c>
      <c r="B19" s="8" t="s">
        <v>45</v>
      </c>
      <c r="C19" s="8" t="s">
        <v>107</v>
      </c>
      <c r="D19" s="8" t="s">
        <v>118</v>
      </c>
      <c r="E19" s="8" t="s">
        <v>119</v>
      </c>
      <c r="F19" s="8" t="s">
        <v>114</v>
      </c>
      <c r="G19" s="8" t="s">
        <v>50</v>
      </c>
      <c r="H19" s="8" t="s">
        <v>51</v>
      </c>
      <c r="I19" s="8" t="s">
        <v>52</v>
      </c>
      <c r="J19" s="9"/>
      <c r="K19" s="9"/>
      <c r="L19" s="9" t="s">
        <v>54</v>
      </c>
      <c r="M19" s="10" t="str">
        <f aca="false">IF(AND(ISNUMBER(K19),L19&lt;&gt;""),K19*INDEX(Lists!$B$2:$B$7,MATCH(L19,Lists!$A$2:$A$7,0)),"")</f>
        <v/>
      </c>
      <c r="N19" s="9" t="s">
        <v>65</v>
      </c>
      <c r="O19" s="9"/>
      <c r="P19" s="9"/>
      <c r="Q19" s="9"/>
      <c r="R19" s="9"/>
      <c r="S19" s="9"/>
    </row>
    <row r="20" customFormat="false" ht="15" hidden="false" customHeight="true" outlineLevel="0" collapsed="false">
      <c r="A20" s="8" t="s">
        <v>120</v>
      </c>
      <c r="B20" s="8" t="s">
        <v>45</v>
      </c>
      <c r="C20" s="8" t="s">
        <v>107</v>
      </c>
      <c r="D20" s="8" t="s">
        <v>121</v>
      </c>
      <c r="E20" s="8" t="s">
        <v>122</v>
      </c>
      <c r="F20" s="8" t="s">
        <v>105</v>
      </c>
      <c r="G20" s="8" t="s">
        <v>50</v>
      </c>
      <c r="H20" s="8" t="s">
        <v>51</v>
      </c>
      <c r="I20" s="8" t="s">
        <v>52</v>
      </c>
      <c r="J20" s="9"/>
      <c r="K20" s="9"/>
      <c r="L20" s="9" t="s">
        <v>54</v>
      </c>
      <c r="M20" s="10" t="str">
        <f aca="false">IF(AND(ISNUMBER(K20),L20&lt;&gt;""),K20*INDEX(Lists!$B$2:$B$7,MATCH(L20,Lists!$A$2:$A$7,0)),"")</f>
        <v/>
      </c>
      <c r="N20" s="9" t="s">
        <v>65</v>
      </c>
      <c r="O20" s="9"/>
      <c r="P20" s="9"/>
      <c r="Q20" s="9"/>
      <c r="R20" s="9"/>
      <c r="S20" s="9"/>
    </row>
    <row r="21" customFormat="false" ht="23.25" hidden="false" customHeight="true" outlineLevel="0" collapsed="false">
      <c r="A21" s="8" t="s">
        <v>123</v>
      </c>
      <c r="B21" s="8" t="s">
        <v>45</v>
      </c>
      <c r="C21" s="8" t="s">
        <v>62</v>
      </c>
      <c r="D21" s="8" t="s">
        <v>124</v>
      </c>
      <c r="E21" s="8" t="s">
        <v>125</v>
      </c>
      <c r="F21" s="8" t="s">
        <v>126</v>
      </c>
      <c r="G21" s="8" t="s">
        <v>50</v>
      </c>
      <c r="H21" s="8" t="s">
        <v>51</v>
      </c>
      <c r="I21" s="8" t="s">
        <v>52</v>
      </c>
      <c r="J21" s="9"/>
      <c r="K21" s="9"/>
      <c r="L21" s="9" t="s">
        <v>54</v>
      </c>
      <c r="M21" s="10" t="str">
        <f aca="false">IF(AND(ISNUMBER(K21),L21&lt;&gt;""),K21*INDEX(Lists!$B$2:$B$7,MATCH(L21,Lists!$A$2:$A$7,0)),"")</f>
        <v/>
      </c>
      <c r="N21" s="9" t="s">
        <v>65</v>
      </c>
      <c r="O21" s="9"/>
      <c r="P21" s="9"/>
      <c r="Q21" s="9"/>
      <c r="R21" s="9"/>
      <c r="S21" s="9"/>
    </row>
    <row r="22" customFormat="false" ht="23.25" hidden="false" customHeight="true" outlineLevel="0" collapsed="false">
      <c r="A22" s="8" t="s">
        <v>127</v>
      </c>
      <c r="B22" s="8" t="s">
        <v>128</v>
      </c>
      <c r="C22" s="8" t="s">
        <v>46</v>
      </c>
      <c r="D22" s="8" t="s">
        <v>129</v>
      </c>
      <c r="E22" s="8" t="s">
        <v>130</v>
      </c>
      <c r="F22" s="8" t="s">
        <v>131</v>
      </c>
      <c r="G22" s="8" t="s">
        <v>50</v>
      </c>
      <c r="H22" s="8" t="s">
        <v>51</v>
      </c>
      <c r="I22" s="8" t="s">
        <v>132</v>
      </c>
      <c r="J22" s="9"/>
      <c r="K22" s="9"/>
      <c r="L22" s="9" t="s">
        <v>54</v>
      </c>
      <c r="M22" s="10" t="str">
        <f aca="false">IF(AND(ISNUMBER(K22),L22&lt;&gt;""),K22*INDEX(Lists!$B$2:$B$7,MATCH(L22,Lists!$A$2:$A$7,0)),"")</f>
        <v/>
      </c>
      <c r="N22" s="9" t="s">
        <v>65</v>
      </c>
      <c r="O22" s="9"/>
      <c r="P22" s="9"/>
      <c r="Q22" s="9"/>
      <c r="R22" s="9"/>
      <c r="S22" s="9"/>
    </row>
    <row r="23" customFormat="false" ht="23.25" hidden="false" customHeight="true" outlineLevel="0" collapsed="false">
      <c r="A23" s="8" t="s">
        <v>133</v>
      </c>
      <c r="B23" s="8" t="s">
        <v>128</v>
      </c>
      <c r="C23" s="8" t="s">
        <v>107</v>
      </c>
      <c r="D23" s="8" t="s">
        <v>129</v>
      </c>
      <c r="E23" s="8" t="s">
        <v>134</v>
      </c>
      <c r="F23" s="8" t="s">
        <v>135</v>
      </c>
      <c r="G23" s="8" t="s">
        <v>50</v>
      </c>
      <c r="H23" s="8" t="s">
        <v>51</v>
      </c>
      <c r="I23" s="8" t="s">
        <v>132</v>
      </c>
      <c r="J23" s="9"/>
      <c r="K23" s="9"/>
      <c r="L23" s="9" t="s">
        <v>54</v>
      </c>
      <c r="M23" s="10" t="str">
        <f aca="false">IF(AND(ISNUMBER(K23),L23&lt;&gt;""),K23*INDEX(Lists!$B$2:$B$7,MATCH(L23,Lists!$A$2:$A$7,0)),"")</f>
        <v/>
      </c>
      <c r="N23" s="9" t="s">
        <v>65</v>
      </c>
      <c r="O23" s="9"/>
      <c r="P23" s="9"/>
      <c r="Q23" s="9"/>
      <c r="R23" s="9"/>
      <c r="S23" s="9"/>
    </row>
    <row r="24" customFormat="false" ht="23.25" hidden="false" customHeight="true" outlineLevel="0" collapsed="false">
      <c r="A24" s="8" t="s">
        <v>136</v>
      </c>
      <c r="B24" s="8" t="s">
        <v>128</v>
      </c>
      <c r="C24" s="8" t="s">
        <v>46</v>
      </c>
      <c r="D24" s="8" t="s">
        <v>137</v>
      </c>
      <c r="E24" s="8" t="s">
        <v>138</v>
      </c>
      <c r="F24" s="8" t="s">
        <v>81</v>
      </c>
      <c r="G24" s="8" t="s">
        <v>50</v>
      </c>
      <c r="H24" s="8" t="s">
        <v>51</v>
      </c>
      <c r="I24" s="8" t="s">
        <v>132</v>
      </c>
      <c r="J24" s="9"/>
      <c r="K24" s="9"/>
      <c r="L24" s="9" t="s">
        <v>54</v>
      </c>
      <c r="M24" s="10" t="str">
        <f aca="false">IF(AND(ISNUMBER(K24),L24&lt;&gt;""),K24*INDEX(Lists!$B$2:$B$7,MATCH(L24,Lists!$A$2:$A$7,0)),"")</f>
        <v/>
      </c>
      <c r="N24" s="9" t="s">
        <v>65</v>
      </c>
      <c r="O24" s="9"/>
      <c r="P24" s="9"/>
      <c r="Q24" s="9"/>
      <c r="R24" s="9"/>
      <c r="S24" s="9"/>
    </row>
    <row r="25" customFormat="false" ht="15" hidden="false" customHeight="true" outlineLevel="0" collapsed="false">
      <c r="A25" s="8" t="s">
        <v>139</v>
      </c>
      <c r="B25" s="8" t="s">
        <v>128</v>
      </c>
      <c r="C25" s="8" t="s">
        <v>107</v>
      </c>
      <c r="D25" s="8" t="s">
        <v>137</v>
      </c>
      <c r="E25" s="8" t="s">
        <v>140</v>
      </c>
      <c r="F25" s="8" t="s">
        <v>106</v>
      </c>
      <c r="G25" s="8" t="s">
        <v>50</v>
      </c>
      <c r="H25" s="8" t="s">
        <v>51</v>
      </c>
      <c r="I25" s="8" t="s">
        <v>132</v>
      </c>
      <c r="J25" s="9"/>
      <c r="K25" s="9"/>
      <c r="L25" s="9" t="s">
        <v>54</v>
      </c>
      <c r="M25" s="10" t="str">
        <f aca="false">IF(AND(ISNUMBER(K25),L25&lt;&gt;""),K25*INDEX(Lists!$B$2:$B$7,MATCH(L25,Lists!$A$2:$A$7,0)),"")</f>
        <v/>
      </c>
      <c r="N25" s="9" t="s">
        <v>65</v>
      </c>
      <c r="O25" s="9"/>
      <c r="P25" s="9"/>
      <c r="Q25" s="9"/>
      <c r="R25" s="9"/>
      <c r="S25" s="9"/>
    </row>
    <row r="26" customFormat="false" ht="23.25" hidden="false" customHeight="true" outlineLevel="0" collapsed="false">
      <c r="A26" s="8" t="s">
        <v>141</v>
      </c>
      <c r="B26" s="8" t="s">
        <v>142</v>
      </c>
      <c r="C26" s="8" t="s">
        <v>62</v>
      </c>
      <c r="D26" s="8" t="s">
        <v>143</v>
      </c>
      <c r="E26" s="8" t="s">
        <v>144</v>
      </c>
      <c r="F26" s="8" t="s">
        <v>145</v>
      </c>
      <c r="G26" s="8" t="s">
        <v>50</v>
      </c>
      <c r="H26" s="8" t="s">
        <v>51</v>
      </c>
      <c r="I26" s="8" t="s">
        <v>132</v>
      </c>
      <c r="J26" s="9"/>
      <c r="K26" s="9"/>
      <c r="L26" s="9" t="s">
        <v>54</v>
      </c>
      <c r="M26" s="10" t="str">
        <f aca="false">IF(AND(ISNUMBER(K26),L26&lt;&gt;""),K26*INDEX(Lists!$B$2:$B$7,MATCH(L26,Lists!$A$2:$A$7,0)),"")</f>
        <v/>
      </c>
      <c r="N26" s="9" t="s">
        <v>65</v>
      </c>
      <c r="O26" s="9"/>
      <c r="P26" s="9"/>
      <c r="Q26" s="9"/>
      <c r="R26" s="9"/>
      <c r="S26" s="9"/>
    </row>
    <row r="27" customFormat="false" ht="23.25" hidden="false" customHeight="true" outlineLevel="0" collapsed="false">
      <c r="A27" s="8" t="s">
        <v>146</v>
      </c>
      <c r="B27" s="8" t="s">
        <v>147</v>
      </c>
      <c r="C27" s="8" t="s">
        <v>62</v>
      </c>
      <c r="D27" s="8" t="s">
        <v>148</v>
      </c>
      <c r="E27" s="8" t="s">
        <v>149</v>
      </c>
      <c r="F27" s="8" t="s">
        <v>150</v>
      </c>
      <c r="G27" s="8" t="s">
        <v>150</v>
      </c>
      <c r="H27" s="8" t="s">
        <v>51</v>
      </c>
      <c r="I27" s="8" t="s">
        <v>132</v>
      </c>
      <c r="J27" s="9"/>
      <c r="K27" s="9"/>
      <c r="L27" s="9" t="s">
        <v>54</v>
      </c>
      <c r="M27" s="10" t="str">
        <f aca="false">IF(AND(ISNUMBER(K27),L27&lt;&gt;""),K27*INDEX(Lists!$B$2:$B$7,MATCH(L27,Lists!$A$2:$A$7,0)),"")</f>
        <v/>
      </c>
      <c r="N27" s="9" t="s">
        <v>65</v>
      </c>
      <c r="O27" s="9"/>
      <c r="P27" s="9"/>
      <c r="Q27" s="9"/>
      <c r="R27" s="9"/>
      <c r="S27" s="9"/>
    </row>
    <row r="28" customFormat="false" ht="23.25" hidden="false" customHeight="true" outlineLevel="0" collapsed="false">
      <c r="A28" s="8" t="s">
        <v>151</v>
      </c>
      <c r="B28" s="8" t="s">
        <v>147</v>
      </c>
      <c r="C28" s="8" t="s">
        <v>62</v>
      </c>
      <c r="D28" s="8" t="s">
        <v>152</v>
      </c>
      <c r="E28" s="8" t="s">
        <v>153</v>
      </c>
      <c r="F28" s="8" t="s">
        <v>150</v>
      </c>
      <c r="G28" s="8" t="s">
        <v>150</v>
      </c>
      <c r="H28" s="8" t="s">
        <v>51</v>
      </c>
      <c r="I28" s="8" t="s">
        <v>132</v>
      </c>
      <c r="J28" s="9"/>
      <c r="K28" s="9"/>
      <c r="L28" s="9" t="s">
        <v>54</v>
      </c>
      <c r="M28" s="10" t="str">
        <f aca="false">IF(AND(ISNUMBER(K28),L28&lt;&gt;""),K28*INDEX(Lists!$B$2:$B$7,MATCH(L28,Lists!$A$2:$A$7,0)),"")</f>
        <v/>
      </c>
      <c r="N28" s="9" t="s">
        <v>65</v>
      </c>
      <c r="O28" s="9"/>
      <c r="P28" s="9"/>
      <c r="Q28" s="9"/>
      <c r="R28" s="9"/>
      <c r="S28" s="9"/>
    </row>
    <row r="29" customFormat="false" ht="23.25" hidden="false" customHeight="true" outlineLevel="0" collapsed="false">
      <c r="A29" s="8" t="s">
        <v>154</v>
      </c>
      <c r="B29" s="8" t="s">
        <v>155</v>
      </c>
      <c r="C29" s="8" t="s">
        <v>62</v>
      </c>
      <c r="D29" s="8" t="s">
        <v>156</v>
      </c>
      <c r="E29" s="8" t="s">
        <v>157</v>
      </c>
      <c r="F29" s="8" t="s">
        <v>158</v>
      </c>
      <c r="G29" s="8" t="s">
        <v>158</v>
      </c>
      <c r="H29" s="8" t="s">
        <v>51</v>
      </c>
      <c r="I29" s="8" t="s">
        <v>132</v>
      </c>
      <c r="J29" s="9"/>
      <c r="K29" s="9"/>
      <c r="L29" s="9" t="s">
        <v>54</v>
      </c>
      <c r="M29" s="10" t="str">
        <f aca="false">IF(AND(ISNUMBER(K29),L29&lt;&gt;""),K29*INDEX(Lists!$B$2:$B$7,MATCH(L29,Lists!$A$2:$A$7,0)),"")</f>
        <v/>
      </c>
      <c r="N29" s="9" t="s">
        <v>65</v>
      </c>
      <c r="O29" s="9"/>
      <c r="P29" s="9"/>
      <c r="Q29" s="9"/>
      <c r="R29" s="9"/>
      <c r="S29" s="9"/>
    </row>
    <row r="30" customFormat="false" ht="23.25" hidden="false" customHeight="true" outlineLevel="0" collapsed="false">
      <c r="A30" s="8" t="s">
        <v>159</v>
      </c>
      <c r="B30" s="8" t="s">
        <v>160</v>
      </c>
      <c r="C30" s="8" t="s">
        <v>62</v>
      </c>
      <c r="D30" s="8" t="s">
        <v>161</v>
      </c>
      <c r="E30" s="8" t="s">
        <v>162</v>
      </c>
      <c r="F30" s="8" t="s">
        <v>163</v>
      </c>
      <c r="G30" s="8" t="s">
        <v>164</v>
      </c>
      <c r="H30" s="8" t="s">
        <v>51</v>
      </c>
      <c r="I30" s="8" t="s">
        <v>132</v>
      </c>
      <c r="J30" s="9"/>
      <c r="K30" s="9"/>
      <c r="L30" s="9" t="s">
        <v>54</v>
      </c>
      <c r="M30" s="10" t="str">
        <f aca="false">IF(AND(ISNUMBER(K30),L30&lt;&gt;""),K30*INDEX(Lists!$B$2:$B$7,MATCH(L30,Lists!$A$2:$A$7,0)),"")</f>
        <v/>
      </c>
      <c r="N30" s="9" t="s">
        <v>65</v>
      </c>
      <c r="O30" s="9"/>
      <c r="P30" s="9"/>
      <c r="Q30" s="9"/>
      <c r="R30" s="9"/>
      <c r="S30" s="9"/>
    </row>
    <row r="31" customFormat="false" ht="23.25" hidden="false" customHeight="true" outlineLevel="0" collapsed="false">
      <c r="A31" s="8" t="s">
        <v>165</v>
      </c>
      <c r="B31" s="8" t="s">
        <v>166</v>
      </c>
      <c r="C31" s="8" t="s">
        <v>62</v>
      </c>
      <c r="D31" s="8" t="s">
        <v>167</v>
      </c>
      <c r="E31" s="8" t="s">
        <v>168</v>
      </c>
      <c r="F31" s="8" t="s">
        <v>169</v>
      </c>
      <c r="G31" s="8" t="s">
        <v>50</v>
      </c>
      <c r="H31" s="8" t="s">
        <v>51</v>
      </c>
      <c r="I31" s="8" t="s">
        <v>132</v>
      </c>
      <c r="J31" s="9"/>
      <c r="K31" s="9"/>
      <c r="L31" s="9" t="s">
        <v>54</v>
      </c>
      <c r="M31" s="10" t="str">
        <f aca="false">IF(AND(ISNUMBER(K31),L31&lt;&gt;""),K31*INDEX(Lists!$B$2:$B$7,MATCH(L31,Lists!$A$2:$A$7,0)),"")</f>
        <v/>
      </c>
      <c r="N31" s="9" t="s">
        <v>65</v>
      </c>
      <c r="O31" s="9"/>
      <c r="P31" s="9"/>
      <c r="Q31" s="9"/>
      <c r="R31" s="9"/>
      <c r="S31" s="9"/>
    </row>
    <row r="32" customFormat="false" ht="15" hidden="false" customHeight="true" outlineLevel="0" collapsed="false">
      <c r="A32" s="8" t="s">
        <v>170</v>
      </c>
      <c r="B32" s="8" t="s">
        <v>166</v>
      </c>
      <c r="C32" s="8" t="s">
        <v>62</v>
      </c>
      <c r="D32" s="8" t="s">
        <v>171</v>
      </c>
      <c r="E32" s="8" t="s">
        <v>172</v>
      </c>
      <c r="F32" s="8" t="s">
        <v>165</v>
      </c>
      <c r="G32" s="8" t="s">
        <v>50</v>
      </c>
      <c r="H32" s="8" t="s">
        <v>51</v>
      </c>
      <c r="I32" s="8" t="s">
        <v>52</v>
      </c>
      <c r="J32" s="9"/>
      <c r="K32" s="9"/>
      <c r="L32" s="9" t="s">
        <v>54</v>
      </c>
      <c r="M32" s="10" t="str">
        <f aca="false">IF(AND(ISNUMBER(K32),L32&lt;&gt;""),K32*INDEX(Lists!$B$2:$B$7,MATCH(L32,Lists!$A$2:$A$7,0)),"")</f>
        <v/>
      </c>
      <c r="N32" s="9" t="s">
        <v>65</v>
      </c>
      <c r="O32" s="9"/>
      <c r="P32" s="9"/>
      <c r="Q32" s="9"/>
      <c r="R32" s="9"/>
      <c r="S32" s="9"/>
    </row>
    <row r="33" customFormat="false" ht="23.25" hidden="false" customHeight="true" outlineLevel="0" collapsed="false">
      <c r="A33" s="8" t="s">
        <v>173</v>
      </c>
      <c r="B33" s="8" t="s">
        <v>166</v>
      </c>
      <c r="C33" s="8" t="s">
        <v>46</v>
      </c>
      <c r="D33" s="8" t="s">
        <v>174</v>
      </c>
      <c r="E33" s="8" t="s">
        <v>175</v>
      </c>
      <c r="F33" s="8" t="s">
        <v>165</v>
      </c>
      <c r="G33" s="8" t="s">
        <v>50</v>
      </c>
      <c r="H33" s="8" t="s">
        <v>51</v>
      </c>
      <c r="I33" s="8" t="s">
        <v>52</v>
      </c>
      <c r="J33" s="9"/>
      <c r="K33" s="9"/>
      <c r="L33" s="9" t="s">
        <v>54</v>
      </c>
      <c r="M33" s="10" t="str">
        <f aca="false">IF(AND(ISNUMBER(K33),L33&lt;&gt;""),K33*INDEX(Lists!$B$2:$B$7,MATCH(L33,Lists!$A$2:$A$7,0)),"")</f>
        <v/>
      </c>
      <c r="N33" s="9" t="s">
        <v>65</v>
      </c>
      <c r="O33" s="9"/>
      <c r="P33" s="9"/>
      <c r="Q33" s="9"/>
      <c r="R33" s="9"/>
      <c r="S33" s="9"/>
    </row>
    <row r="34" customFormat="false" ht="23.25" hidden="false" customHeight="true" outlineLevel="0" collapsed="false">
      <c r="A34" s="8" t="s">
        <v>176</v>
      </c>
      <c r="B34" s="8" t="s">
        <v>166</v>
      </c>
      <c r="C34" s="8" t="s">
        <v>107</v>
      </c>
      <c r="D34" s="8" t="s">
        <v>177</v>
      </c>
      <c r="E34" s="8" t="s">
        <v>178</v>
      </c>
      <c r="F34" s="8" t="s">
        <v>165</v>
      </c>
      <c r="G34" s="8" t="s">
        <v>50</v>
      </c>
      <c r="H34" s="8" t="s">
        <v>51</v>
      </c>
      <c r="I34" s="8" t="s">
        <v>52</v>
      </c>
      <c r="J34" s="9"/>
      <c r="K34" s="9"/>
      <c r="L34" s="9" t="s">
        <v>54</v>
      </c>
      <c r="M34" s="10" t="str">
        <f aca="false">IF(AND(ISNUMBER(K34),L34&lt;&gt;""),K34*INDEX(Lists!$B$2:$B$7,MATCH(L34,Lists!$A$2:$A$7,0)),"")</f>
        <v/>
      </c>
      <c r="N34" s="9" t="s">
        <v>65</v>
      </c>
      <c r="O34" s="9"/>
      <c r="P34" s="9"/>
      <c r="Q34" s="9"/>
      <c r="R34" s="9"/>
      <c r="S34" s="9"/>
    </row>
    <row r="35" customFormat="false" ht="23.25" hidden="false" customHeight="true" outlineLevel="0" collapsed="false">
      <c r="A35" s="8" t="s">
        <v>179</v>
      </c>
      <c r="B35" s="8" t="s">
        <v>166</v>
      </c>
      <c r="C35" s="8" t="s">
        <v>62</v>
      </c>
      <c r="D35" s="8" t="s">
        <v>180</v>
      </c>
      <c r="E35" s="8" t="s">
        <v>181</v>
      </c>
      <c r="F35" s="8" t="s">
        <v>105</v>
      </c>
      <c r="G35" s="8" t="s">
        <v>182</v>
      </c>
      <c r="H35" s="8" t="s">
        <v>51</v>
      </c>
      <c r="I35" s="8" t="s">
        <v>52</v>
      </c>
      <c r="J35" s="9"/>
      <c r="K35" s="9"/>
      <c r="L35" s="9" t="s">
        <v>54</v>
      </c>
      <c r="M35" s="10" t="str">
        <f aca="false">IF(AND(ISNUMBER(K35),L35&lt;&gt;""),K35*INDEX(Lists!$B$2:$B$7,MATCH(L35,Lists!$A$2:$A$7,0)),"")</f>
        <v/>
      </c>
      <c r="N35" s="9" t="s">
        <v>65</v>
      </c>
      <c r="O35" s="9"/>
      <c r="P35" s="9"/>
      <c r="Q35" s="9"/>
      <c r="R35" s="9"/>
      <c r="S35" s="9"/>
    </row>
    <row r="36" customFormat="false" ht="23.25" hidden="false" customHeight="true" outlineLevel="0" collapsed="false">
      <c r="A36" s="8" t="s">
        <v>183</v>
      </c>
      <c r="B36" s="8" t="s">
        <v>155</v>
      </c>
      <c r="C36" s="8" t="s">
        <v>46</v>
      </c>
      <c r="D36" s="8" t="s">
        <v>184</v>
      </c>
      <c r="E36" s="8" t="s">
        <v>185</v>
      </c>
      <c r="F36" s="8" t="s">
        <v>186</v>
      </c>
      <c r="G36" s="8" t="s">
        <v>158</v>
      </c>
      <c r="H36" s="8" t="s">
        <v>51</v>
      </c>
      <c r="I36" s="8" t="s">
        <v>52</v>
      </c>
      <c r="J36" s="9"/>
      <c r="K36" s="9"/>
      <c r="L36" s="9" t="s">
        <v>54</v>
      </c>
      <c r="M36" s="10" t="str">
        <f aca="false">IF(AND(ISNUMBER(K36),L36&lt;&gt;""),K36*INDEX(Lists!$B$2:$B$7,MATCH(L36,Lists!$A$2:$A$7,0)),"")</f>
        <v/>
      </c>
      <c r="N36" s="9" t="s">
        <v>65</v>
      </c>
      <c r="O36" s="9"/>
      <c r="P36" s="9"/>
      <c r="Q36" s="9"/>
      <c r="R36" s="9"/>
      <c r="S36" s="9"/>
    </row>
    <row r="37" customFormat="false" ht="23.25" hidden="false" customHeight="true" outlineLevel="0" collapsed="false">
      <c r="A37" s="8" t="s">
        <v>187</v>
      </c>
      <c r="B37" s="8" t="s">
        <v>155</v>
      </c>
      <c r="C37" s="8" t="s">
        <v>62</v>
      </c>
      <c r="D37" s="8" t="s">
        <v>188</v>
      </c>
      <c r="E37" s="8" t="s">
        <v>189</v>
      </c>
      <c r="F37" s="8" t="s">
        <v>81</v>
      </c>
      <c r="G37" s="8" t="s">
        <v>158</v>
      </c>
      <c r="H37" s="8" t="s">
        <v>51</v>
      </c>
      <c r="I37" s="8" t="s">
        <v>52</v>
      </c>
      <c r="J37" s="9"/>
      <c r="K37" s="9"/>
      <c r="L37" s="9" t="s">
        <v>54</v>
      </c>
      <c r="M37" s="10" t="str">
        <f aca="false">IF(AND(ISNUMBER(K37),L37&lt;&gt;""),K37*INDEX(Lists!$B$2:$B$7,MATCH(L37,Lists!$A$2:$A$7,0)),"")</f>
        <v/>
      </c>
      <c r="N37" s="9" t="s">
        <v>65</v>
      </c>
      <c r="O37" s="9"/>
      <c r="P37" s="9"/>
      <c r="Q37" s="9"/>
      <c r="R37" s="9"/>
      <c r="S37" s="9"/>
    </row>
    <row r="38" customFormat="false" ht="23.25" hidden="false" customHeight="true" outlineLevel="0" collapsed="false">
      <c r="A38" s="8" t="s">
        <v>190</v>
      </c>
      <c r="B38" s="8" t="s">
        <v>155</v>
      </c>
      <c r="C38" s="8" t="s">
        <v>62</v>
      </c>
      <c r="D38" s="8" t="s">
        <v>191</v>
      </c>
      <c r="E38" s="8" t="s">
        <v>192</v>
      </c>
      <c r="F38" s="8" t="s">
        <v>105</v>
      </c>
      <c r="G38" s="8" t="s">
        <v>158</v>
      </c>
      <c r="H38" s="8" t="s">
        <v>51</v>
      </c>
      <c r="I38" s="8" t="s">
        <v>52</v>
      </c>
      <c r="J38" s="9"/>
      <c r="K38" s="9"/>
      <c r="L38" s="9" t="s">
        <v>54</v>
      </c>
      <c r="M38" s="10" t="str">
        <f aca="false">IF(AND(ISNUMBER(K38),L38&lt;&gt;""),K38*INDEX(Lists!$B$2:$B$7,MATCH(L38,Lists!$A$2:$A$7,0)),"")</f>
        <v/>
      </c>
      <c r="N38" s="9" t="s">
        <v>65</v>
      </c>
      <c r="O38" s="9"/>
      <c r="P38" s="9"/>
      <c r="Q38" s="9"/>
      <c r="R38" s="9"/>
      <c r="S38" s="9"/>
    </row>
    <row r="39" customFormat="false" ht="15" hidden="false" customHeight="true" outlineLevel="0" collapsed="false">
      <c r="A39" s="8" t="s">
        <v>193</v>
      </c>
      <c r="B39" s="8" t="s">
        <v>194</v>
      </c>
      <c r="C39" s="8" t="s">
        <v>62</v>
      </c>
      <c r="D39" s="8" t="s">
        <v>195</v>
      </c>
      <c r="E39" s="8" t="s">
        <v>196</v>
      </c>
      <c r="F39" s="8" t="s">
        <v>197</v>
      </c>
      <c r="G39" s="8" t="s">
        <v>197</v>
      </c>
      <c r="H39" s="8" t="s">
        <v>51</v>
      </c>
      <c r="I39" s="8" t="s">
        <v>132</v>
      </c>
      <c r="J39" s="9"/>
      <c r="K39" s="9"/>
      <c r="L39" s="9" t="s">
        <v>54</v>
      </c>
      <c r="M39" s="10" t="str">
        <f aca="false">IF(AND(ISNUMBER(K39),L39&lt;&gt;""),K39*INDEX(Lists!$B$2:$B$7,MATCH(L39,Lists!$A$2:$A$7,0)),"")</f>
        <v/>
      </c>
      <c r="N39" s="9" t="s">
        <v>65</v>
      </c>
      <c r="O39" s="9"/>
      <c r="P39" s="9"/>
      <c r="Q39" s="9"/>
      <c r="R39" s="9"/>
      <c r="S39" s="9"/>
    </row>
    <row r="40" customFormat="false" ht="15" hidden="false" customHeight="true" outlineLevel="0" collapsed="false">
      <c r="A40" s="8" t="s">
        <v>198</v>
      </c>
      <c r="B40" s="8" t="s">
        <v>194</v>
      </c>
      <c r="C40" s="8" t="s">
        <v>62</v>
      </c>
      <c r="D40" s="8" t="s">
        <v>199</v>
      </c>
      <c r="E40" s="8" t="s">
        <v>200</v>
      </c>
      <c r="F40" s="8" t="s">
        <v>197</v>
      </c>
      <c r="G40" s="8" t="s">
        <v>197</v>
      </c>
      <c r="H40" s="8" t="s">
        <v>51</v>
      </c>
      <c r="I40" s="8" t="s">
        <v>132</v>
      </c>
      <c r="J40" s="9"/>
      <c r="K40" s="9"/>
      <c r="L40" s="9" t="s">
        <v>54</v>
      </c>
      <c r="M40" s="10" t="str">
        <f aca="false">IF(AND(ISNUMBER(K40),L40&lt;&gt;""),K40*INDEX(Lists!$B$2:$B$7,MATCH(L40,Lists!$A$2:$A$7,0)),"")</f>
        <v/>
      </c>
      <c r="N40" s="9" t="s">
        <v>65</v>
      </c>
      <c r="O40" s="9"/>
      <c r="P40" s="9"/>
      <c r="Q40" s="9"/>
      <c r="R40" s="9"/>
      <c r="S40" s="9"/>
    </row>
    <row r="41" customFormat="false" ht="15" hidden="false" customHeight="true" outlineLevel="0" collapsed="false">
      <c r="A41" s="8" t="s">
        <v>201</v>
      </c>
      <c r="B41" s="8" t="s">
        <v>194</v>
      </c>
      <c r="C41" s="8" t="s">
        <v>62</v>
      </c>
      <c r="D41" s="8" t="s">
        <v>202</v>
      </c>
      <c r="E41" s="8" t="s">
        <v>203</v>
      </c>
      <c r="F41" s="8" t="s">
        <v>197</v>
      </c>
      <c r="G41" s="8" t="s">
        <v>197</v>
      </c>
      <c r="H41" s="8" t="s">
        <v>51</v>
      </c>
      <c r="I41" s="8" t="s">
        <v>132</v>
      </c>
      <c r="J41" s="9"/>
      <c r="K41" s="9"/>
      <c r="L41" s="9" t="s">
        <v>54</v>
      </c>
      <c r="M41" s="10" t="str">
        <f aca="false">IF(AND(ISNUMBER(K41),L41&lt;&gt;""),K41*INDEX(Lists!$B$2:$B$7,MATCH(L41,Lists!$A$2:$A$7,0)),"")</f>
        <v/>
      </c>
      <c r="N41" s="9" t="s">
        <v>65</v>
      </c>
      <c r="O41" s="9"/>
      <c r="P41" s="9"/>
      <c r="Q41" s="9"/>
      <c r="R41" s="9"/>
      <c r="S41" s="9"/>
    </row>
    <row r="42" customFormat="false" ht="15" hidden="false" customHeight="true" outlineLevel="0" collapsed="false">
      <c r="A42" s="8" t="s">
        <v>204</v>
      </c>
      <c r="B42" s="8" t="s">
        <v>194</v>
      </c>
      <c r="C42" s="8" t="s">
        <v>62</v>
      </c>
      <c r="D42" s="8" t="s">
        <v>205</v>
      </c>
      <c r="E42" s="8" t="s">
        <v>206</v>
      </c>
      <c r="F42" s="8" t="s">
        <v>105</v>
      </c>
      <c r="G42" s="8" t="s">
        <v>197</v>
      </c>
      <c r="H42" s="8" t="s">
        <v>51</v>
      </c>
      <c r="I42" s="8" t="s">
        <v>52</v>
      </c>
      <c r="J42" s="9"/>
      <c r="K42" s="9"/>
      <c r="L42" s="9" t="s">
        <v>54</v>
      </c>
      <c r="M42" s="10" t="str">
        <f aca="false">IF(AND(ISNUMBER(K42),L42&lt;&gt;""),K42*INDEX(Lists!$B$2:$B$7,MATCH(L42,Lists!$A$2:$A$7,0)),"")</f>
        <v/>
      </c>
      <c r="N42" s="9" t="s">
        <v>65</v>
      </c>
      <c r="O42" s="9"/>
      <c r="P42" s="9"/>
      <c r="Q42" s="9"/>
      <c r="R42" s="9"/>
      <c r="S42" s="9"/>
    </row>
    <row r="43" customFormat="false" ht="15" hidden="false" customHeight="true" outlineLevel="0" collapsed="false">
      <c r="A43" s="8" t="s">
        <v>207</v>
      </c>
      <c r="B43" s="8" t="s">
        <v>194</v>
      </c>
      <c r="C43" s="8" t="s">
        <v>62</v>
      </c>
      <c r="D43" s="8" t="s">
        <v>208</v>
      </c>
      <c r="E43" s="8" t="s">
        <v>209</v>
      </c>
      <c r="F43" s="8" t="s">
        <v>105</v>
      </c>
      <c r="G43" s="8" t="s">
        <v>210</v>
      </c>
      <c r="H43" s="8" t="s">
        <v>51</v>
      </c>
      <c r="I43" s="8" t="s">
        <v>211</v>
      </c>
      <c r="J43" s="9"/>
      <c r="K43" s="9"/>
      <c r="L43" s="9" t="s">
        <v>54</v>
      </c>
      <c r="M43" s="10" t="str">
        <f aca="false">IF(AND(ISNUMBER(K43),L43&lt;&gt;""),K43*INDEX(Lists!$B$2:$B$7,MATCH(L43,Lists!$A$2:$A$7,0)),"")</f>
        <v/>
      </c>
      <c r="N43" s="9" t="s">
        <v>65</v>
      </c>
      <c r="O43" s="9"/>
      <c r="P43" s="9"/>
      <c r="Q43" s="9"/>
      <c r="R43" s="9"/>
      <c r="S43" s="9"/>
    </row>
    <row r="44" customFormat="false" ht="15" hidden="false" customHeight="true" outlineLevel="0" collapsed="false">
      <c r="A44" s="8" t="s">
        <v>212</v>
      </c>
      <c r="B44" s="8" t="s">
        <v>194</v>
      </c>
      <c r="C44" s="8" t="s">
        <v>62</v>
      </c>
      <c r="D44" s="8" t="s">
        <v>213</v>
      </c>
      <c r="E44" s="8" t="s">
        <v>214</v>
      </c>
      <c r="F44" s="8" t="s">
        <v>105</v>
      </c>
      <c r="G44" s="8" t="s">
        <v>197</v>
      </c>
      <c r="H44" s="8" t="s">
        <v>51</v>
      </c>
      <c r="I44" s="8" t="s">
        <v>52</v>
      </c>
      <c r="J44" s="9"/>
      <c r="K44" s="9"/>
      <c r="L44" s="9" t="s">
        <v>54</v>
      </c>
      <c r="M44" s="10" t="str">
        <f aca="false">IF(AND(ISNUMBER(K44),L44&lt;&gt;""),K44*INDEX(Lists!$B$2:$B$7,MATCH(L44,Lists!$A$2:$A$7,0)),"")</f>
        <v/>
      </c>
      <c r="N44" s="9" t="s">
        <v>65</v>
      </c>
      <c r="O44" s="9"/>
      <c r="P44" s="9"/>
      <c r="Q44" s="9"/>
      <c r="R44" s="9"/>
      <c r="S44" s="9"/>
    </row>
    <row r="45" customFormat="false" ht="23.25" hidden="false" customHeight="true" outlineLevel="0" collapsed="false">
      <c r="A45" s="8" t="s">
        <v>215</v>
      </c>
      <c r="B45" s="8" t="s">
        <v>147</v>
      </c>
      <c r="C45" s="8" t="s">
        <v>62</v>
      </c>
      <c r="D45" s="8" t="s">
        <v>216</v>
      </c>
      <c r="E45" s="8" t="s">
        <v>217</v>
      </c>
      <c r="F45" s="8" t="s">
        <v>105</v>
      </c>
      <c r="G45" s="8" t="s">
        <v>150</v>
      </c>
      <c r="H45" s="8" t="s">
        <v>51</v>
      </c>
      <c r="I45" s="8" t="s">
        <v>52</v>
      </c>
      <c r="J45" s="9"/>
      <c r="K45" s="9"/>
      <c r="L45" s="9" t="s">
        <v>54</v>
      </c>
      <c r="M45" s="10" t="str">
        <f aca="false">IF(AND(ISNUMBER(K45),L45&lt;&gt;""),K45*INDEX(Lists!$B$2:$B$7,MATCH(L45,Lists!$A$2:$A$7,0)),"")</f>
        <v/>
      </c>
      <c r="N45" s="9" t="s">
        <v>65</v>
      </c>
      <c r="O45" s="9"/>
      <c r="P45" s="9"/>
      <c r="Q45" s="9"/>
      <c r="R45" s="9"/>
      <c r="S45" s="9"/>
    </row>
    <row r="46" customFormat="false" ht="23.25" hidden="false" customHeight="true" outlineLevel="0" collapsed="false">
      <c r="A46" s="8" t="s">
        <v>218</v>
      </c>
      <c r="B46" s="8" t="s">
        <v>147</v>
      </c>
      <c r="C46" s="8" t="s">
        <v>62</v>
      </c>
      <c r="D46" s="8" t="s">
        <v>219</v>
      </c>
      <c r="E46" s="8" t="s">
        <v>217</v>
      </c>
      <c r="F46" s="8" t="s">
        <v>105</v>
      </c>
      <c r="G46" s="8" t="s">
        <v>150</v>
      </c>
      <c r="H46" s="8" t="s">
        <v>51</v>
      </c>
      <c r="I46" s="8" t="s">
        <v>52</v>
      </c>
      <c r="J46" s="9"/>
      <c r="K46" s="9"/>
      <c r="L46" s="9" t="s">
        <v>54</v>
      </c>
      <c r="M46" s="10" t="str">
        <f aca="false">IF(AND(ISNUMBER(K46),L46&lt;&gt;""),K46*INDEX(Lists!$B$2:$B$7,MATCH(L46,Lists!$A$2:$A$7,0)),"")</f>
        <v/>
      </c>
      <c r="N46" s="9" t="s">
        <v>65</v>
      </c>
      <c r="O46" s="9"/>
      <c r="P46" s="9"/>
      <c r="Q46" s="9"/>
      <c r="R46" s="9"/>
      <c r="S46" s="9"/>
    </row>
    <row r="47" customFormat="false" ht="23.25" hidden="false" customHeight="true" outlineLevel="0" collapsed="false">
      <c r="A47" s="8" t="s">
        <v>220</v>
      </c>
      <c r="B47" s="8" t="s">
        <v>147</v>
      </c>
      <c r="C47" s="8" t="s">
        <v>62</v>
      </c>
      <c r="D47" s="8" t="s">
        <v>221</v>
      </c>
      <c r="E47" s="8" t="s">
        <v>217</v>
      </c>
      <c r="F47" s="8" t="s">
        <v>105</v>
      </c>
      <c r="G47" s="8" t="s">
        <v>150</v>
      </c>
      <c r="H47" s="8" t="s">
        <v>51</v>
      </c>
      <c r="I47" s="8" t="s">
        <v>52</v>
      </c>
      <c r="J47" s="9"/>
      <c r="K47" s="9"/>
      <c r="L47" s="9" t="s">
        <v>54</v>
      </c>
      <c r="M47" s="10" t="str">
        <f aca="false">IF(AND(ISNUMBER(K47),L47&lt;&gt;""),K47*INDEX(Lists!$B$2:$B$7,MATCH(L47,Lists!$A$2:$A$7,0)),"")</f>
        <v/>
      </c>
      <c r="N47" s="9" t="s">
        <v>65</v>
      </c>
      <c r="O47" s="9"/>
      <c r="P47" s="9"/>
      <c r="Q47" s="9"/>
      <c r="R47" s="9"/>
      <c r="S47" s="9"/>
    </row>
    <row r="48" customFormat="false" ht="23.25" hidden="false" customHeight="true" outlineLevel="0" collapsed="false">
      <c r="A48" s="8" t="s">
        <v>222</v>
      </c>
      <c r="B48" s="8" t="s">
        <v>147</v>
      </c>
      <c r="C48" s="8" t="s">
        <v>62</v>
      </c>
      <c r="D48" s="8" t="s">
        <v>223</v>
      </c>
      <c r="E48" s="8" t="s">
        <v>217</v>
      </c>
      <c r="F48" s="8" t="s">
        <v>105</v>
      </c>
      <c r="G48" s="8" t="s">
        <v>150</v>
      </c>
      <c r="H48" s="8" t="s">
        <v>51</v>
      </c>
      <c r="I48" s="8" t="s">
        <v>52</v>
      </c>
      <c r="J48" s="9"/>
      <c r="K48" s="9"/>
      <c r="L48" s="9" t="s">
        <v>54</v>
      </c>
      <c r="M48" s="10" t="str">
        <f aca="false">IF(AND(ISNUMBER(K48),L48&lt;&gt;""),K48*INDEX(Lists!$B$2:$B$7,MATCH(L48,Lists!$A$2:$A$7,0)),"")</f>
        <v/>
      </c>
      <c r="N48" s="9" t="s">
        <v>65</v>
      </c>
      <c r="O48" s="9"/>
      <c r="P48" s="9"/>
      <c r="Q48" s="9"/>
      <c r="R48" s="9"/>
      <c r="S48" s="9"/>
    </row>
    <row r="49" customFormat="false" ht="23.25" hidden="false" customHeight="true" outlineLevel="0" collapsed="false">
      <c r="A49" s="8" t="s">
        <v>224</v>
      </c>
      <c r="B49" s="8" t="s">
        <v>147</v>
      </c>
      <c r="C49" s="8" t="s">
        <v>62</v>
      </c>
      <c r="D49" s="8" t="s">
        <v>225</v>
      </c>
      <c r="E49" s="8" t="s">
        <v>217</v>
      </c>
      <c r="F49" s="8" t="s">
        <v>105</v>
      </c>
      <c r="G49" s="8" t="s">
        <v>150</v>
      </c>
      <c r="H49" s="8" t="s">
        <v>51</v>
      </c>
      <c r="I49" s="8" t="s">
        <v>52</v>
      </c>
      <c r="J49" s="9"/>
      <c r="K49" s="9"/>
      <c r="L49" s="9" t="s">
        <v>54</v>
      </c>
      <c r="M49" s="10" t="str">
        <f aca="false">IF(AND(ISNUMBER(K49),L49&lt;&gt;""),K49*INDEX(Lists!$B$2:$B$7,MATCH(L49,Lists!$A$2:$A$7,0)),"")</f>
        <v/>
      </c>
      <c r="N49" s="9" t="s">
        <v>65</v>
      </c>
      <c r="O49" s="9"/>
      <c r="P49" s="9"/>
      <c r="Q49" s="9"/>
      <c r="R49" s="9"/>
      <c r="S49" s="9"/>
    </row>
    <row r="50" customFormat="false" ht="23.25" hidden="false" customHeight="true" outlineLevel="0" collapsed="false">
      <c r="A50" s="8" t="s">
        <v>226</v>
      </c>
      <c r="B50" s="8" t="s">
        <v>147</v>
      </c>
      <c r="C50" s="8" t="s">
        <v>62</v>
      </c>
      <c r="D50" s="8" t="s">
        <v>227</v>
      </c>
      <c r="E50" s="8" t="s">
        <v>217</v>
      </c>
      <c r="F50" s="8" t="s">
        <v>105</v>
      </c>
      <c r="G50" s="8" t="s">
        <v>150</v>
      </c>
      <c r="H50" s="8" t="s">
        <v>51</v>
      </c>
      <c r="I50" s="8" t="s">
        <v>52</v>
      </c>
      <c r="J50" s="9"/>
      <c r="K50" s="9"/>
      <c r="L50" s="9" t="s">
        <v>54</v>
      </c>
      <c r="M50" s="10" t="str">
        <f aca="false">IF(AND(ISNUMBER(K50),L50&lt;&gt;""),K50*INDEX(Lists!$B$2:$B$7,MATCH(L50,Lists!$A$2:$A$7,0)),"")</f>
        <v/>
      </c>
      <c r="N50" s="9" t="s">
        <v>65</v>
      </c>
      <c r="O50" s="9"/>
      <c r="P50" s="9"/>
      <c r="Q50" s="9"/>
      <c r="R50" s="9"/>
      <c r="S50" s="9"/>
    </row>
    <row r="51" customFormat="false" ht="23.25" hidden="false" customHeight="true" outlineLevel="0" collapsed="false">
      <c r="A51" s="8" t="s">
        <v>228</v>
      </c>
      <c r="B51" s="8" t="s">
        <v>147</v>
      </c>
      <c r="C51" s="8" t="s">
        <v>62</v>
      </c>
      <c r="D51" s="8" t="s">
        <v>229</v>
      </c>
      <c r="E51" s="8" t="s">
        <v>217</v>
      </c>
      <c r="F51" s="8" t="s">
        <v>105</v>
      </c>
      <c r="G51" s="8" t="s">
        <v>150</v>
      </c>
      <c r="H51" s="8" t="s">
        <v>51</v>
      </c>
      <c r="I51" s="8" t="s">
        <v>52</v>
      </c>
      <c r="J51" s="9"/>
      <c r="K51" s="9"/>
      <c r="L51" s="9" t="s">
        <v>54</v>
      </c>
      <c r="M51" s="10" t="str">
        <f aca="false">IF(AND(ISNUMBER(K51),L51&lt;&gt;""),K51*INDEX(Lists!$B$2:$B$7,MATCH(L51,Lists!$A$2:$A$7,0)),"")</f>
        <v/>
      </c>
      <c r="N51" s="9" t="s">
        <v>65</v>
      </c>
      <c r="O51" s="9"/>
      <c r="P51" s="9"/>
      <c r="Q51" s="9"/>
      <c r="R51" s="9"/>
      <c r="S51" s="9"/>
    </row>
    <row r="52" customFormat="false" ht="23.25" hidden="false" customHeight="true" outlineLevel="0" collapsed="false">
      <c r="A52" s="8" t="s">
        <v>230</v>
      </c>
      <c r="B52" s="8" t="s">
        <v>147</v>
      </c>
      <c r="C52" s="8" t="s">
        <v>62</v>
      </c>
      <c r="D52" s="8" t="s">
        <v>231</v>
      </c>
      <c r="E52" s="8" t="s">
        <v>217</v>
      </c>
      <c r="F52" s="8" t="s">
        <v>105</v>
      </c>
      <c r="G52" s="8" t="s">
        <v>150</v>
      </c>
      <c r="H52" s="8" t="s">
        <v>51</v>
      </c>
      <c r="I52" s="8" t="s">
        <v>52</v>
      </c>
      <c r="J52" s="9"/>
      <c r="K52" s="9"/>
      <c r="L52" s="9" t="s">
        <v>54</v>
      </c>
      <c r="M52" s="10" t="str">
        <f aca="false">IF(AND(ISNUMBER(K52),L52&lt;&gt;""),K52*INDEX(Lists!$B$2:$B$7,MATCH(L52,Lists!$A$2:$A$7,0)),"")</f>
        <v/>
      </c>
      <c r="N52" s="9" t="s">
        <v>65</v>
      </c>
      <c r="O52" s="9"/>
      <c r="P52" s="9"/>
      <c r="Q52" s="9"/>
      <c r="R52" s="9"/>
      <c r="S52" s="9"/>
    </row>
    <row r="53" customFormat="false" ht="23.25" hidden="false" customHeight="true" outlineLevel="0" collapsed="false">
      <c r="A53" s="8" t="s">
        <v>232</v>
      </c>
      <c r="B53" s="8" t="s">
        <v>147</v>
      </c>
      <c r="C53" s="8" t="s">
        <v>62</v>
      </c>
      <c r="D53" s="8" t="s">
        <v>233</v>
      </c>
      <c r="E53" s="8" t="s">
        <v>217</v>
      </c>
      <c r="F53" s="8" t="s">
        <v>105</v>
      </c>
      <c r="G53" s="8" t="s">
        <v>150</v>
      </c>
      <c r="H53" s="8" t="s">
        <v>51</v>
      </c>
      <c r="I53" s="8" t="s">
        <v>52</v>
      </c>
      <c r="J53" s="9"/>
      <c r="K53" s="9"/>
      <c r="L53" s="9" t="s">
        <v>54</v>
      </c>
      <c r="M53" s="10" t="str">
        <f aca="false">IF(AND(ISNUMBER(K53),L53&lt;&gt;""),K53*INDEX(Lists!$B$2:$B$7,MATCH(L53,Lists!$A$2:$A$7,0)),"")</f>
        <v/>
      </c>
      <c r="N53" s="9" t="s">
        <v>65</v>
      </c>
      <c r="O53" s="9"/>
      <c r="P53" s="9"/>
      <c r="Q53" s="9"/>
      <c r="R53" s="9"/>
      <c r="S53" s="9"/>
    </row>
    <row r="54" customFormat="false" ht="23.25" hidden="false" customHeight="true" outlineLevel="0" collapsed="false">
      <c r="A54" s="8" t="s">
        <v>234</v>
      </c>
      <c r="B54" s="8" t="s">
        <v>147</v>
      </c>
      <c r="C54" s="8" t="s">
        <v>62</v>
      </c>
      <c r="D54" s="8" t="s">
        <v>235</v>
      </c>
      <c r="E54" s="8" t="s">
        <v>217</v>
      </c>
      <c r="F54" s="8" t="s">
        <v>105</v>
      </c>
      <c r="G54" s="8" t="s">
        <v>150</v>
      </c>
      <c r="H54" s="8" t="s">
        <v>51</v>
      </c>
      <c r="I54" s="8" t="s">
        <v>52</v>
      </c>
      <c r="J54" s="9"/>
      <c r="K54" s="9"/>
      <c r="L54" s="9" t="s">
        <v>54</v>
      </c>
      <c r="M54" s="10" t="str">
        <f aca="false">IF(AND(ISNUMBER(K54),L54&lt;&gt;""),K54*INDEX(Lists!$B$2:$B$7,MATCH(L54,Lists!$A$2:$A$7,0)),"")</f>
        <v/>
      </c>
      <c r="N54" s="9" t="s">
        <v>65</v>
      </c>
      <c r="O54" s="9"/>
      <c r="P54" s="9"/>
      <c r="Q54" s="9"/>
      <c r="R54" s="9"/>
      <c r="S54" s="9"/>
    </row>
    <row r="55" customFormat="false" ht="23.25" hidden="false" customHeight="true" outlineLevel="0" collapsed="false">
      <c r="A55" s="8" t="s">
        <v>236</v>
      </c>
      <c r="B55" s="8" t="s">
        <v>160</v>
      </c>
      <c r="C55" s="8" t="s">
        <v>62</v>
      </c>
      <c r="D55" s="8" t="s">
        <v>237</v>
      </c>
      <c r="E55" s="8" t="s">
        <v>238</v>
      </c>
      <c r="F55" s="8" t="s">
        <v>105</v>
      </c>
      <c r="G55" s="8" t="s">
        <v>239</v>
      </c>
      <c r="H55" s="8" t="s">
        <v>51</v>
      </c>
      <c r="I55" s="8" t="s">
        <v>52</v>
      </c>
      <c r="J55" s="9"/>
      <c r="K55" s="9"/>
      <c r="L55" s="9" t="s">
        <v>54</v>
      </c>
      <c r="M55" s="10" t="str">
        <f aca="false">IF(AND(ISNUMBER(K55),L55&lt;&gt;""),K55*INDEX(Lists!$B$2:$B$7,MATCH(L55,Lists!$A$2:$A$7,0)),"")</f>
        <v/>
      </c>
      <c r="N55" s="9" t="s">
        <v>65</v>
      </c>
      <c r="O55" s="9"/>
      <c r="P55" s="9"/>
      <c r="Q55" s="9"/>
      <c r="R55" s="9"/>
      <c r="S55" s="9"/>
    </row>
    <row r="56" customFormat="false" ht="15" hidden="false" customHeight="true" outlineLevel="0" collapsed="false">
      <c r="A56" s="8" t="s">
        <v>240</v>
      </c>
      <c r="B56" s="8" t="s">
        <v>160</v>
      </c>
      <c r="C56" s="8" t="s">
        <v>62</v>
      </c>
      <c r="D56" s="8" t="s">
        <v>241</v>
      </c>
      <c r="E56" s="8" t="s">
        <v>242</v>
      </c>
      <c r="F56" s="8" t="s">
        <v>105</v>
      </c>
      <c r="G56" s="8" t="s">
        <v>243</v>
      </c>
      <c r="H56" s="8" t="s">
        <v>51</v>
      </c>
      <c r="I56" s="8" t="s">
        <v>52</v>
      </c>
      <c r="J56" s="9"/>
      <c r="K56" s="9"/>
      <c r="L56" s="9" t="s">
        <v>54</v>
      </c>
      <c r="M56" s="10" t="str">
        <f aca="false">IF(AND(ISNUMBER(K56),L56&lt;&gt;""),K56*INDEX(Lists!$B$2:$B$7,MATCH(L56,Lists!$A$2:$A$7,0)),"")</f>
        <v/>
      </c>
      <c r="N56" s="9" t="s">
        <v>65</v>
      </c>
      <c r="O56" s="9"/>
      <c r="P56" s="9"/>
      <c r="Q56" s="9"/>
      <c r="R56" s="9"/>
      <c r="S56" s="9"/>
    </row>
    <row r="57" customFormat="false" ht="15" hidden="false" customHeight="true" outlineLevel="0" collapsed="false">
      <c r="A57" s="8" t="s">
        <v>244</v>
      </c>
      <c r="B57" s="8" t="s">
        <v>160</v>
      </c>
      <c r="C57" s="8" t="s">
        <v>62</v>
      </c>
      <c r="D57" s="8" t="s">
        <v>245</v>
      </c>
      <c r="E57" s="8" t="s">
        <v>246</v>
      </c>
      <c r="F57" s="8" t="s">
        <v>105</v>
      </c>
      <c r="G57" s="8" t="s">
        <v>243</v>
      </c>
      <c r="H57" s="8" t="s">
        <v>247</v>
      </c>
      <c r="I57" s="8" t="s">
        <v>52</v>
      </c>
      <c r="J57" s="9"/>
      <c r="K57" s="9"/>
      <c r="L57" s="9" t="s">
        <v>54</v>
      </c>
      <c r="M57" s="10" t="str">
        <f aca="false">IF(AND(ISNUMBER(K57),L57&lt;&gt;""),K57*INDEX(Lists!$B$2:$B$7,MATCH(L57,Lists!$A$2:$A$7,0)),"")</f>
        <v/>
      </c>
      <c r="N57" s="9" t="s">
        <v>65</v>
      </c>
      <c r="O57" s="9"/>
      <c r="P57" s="9"/>
      <c r="Q57" s="9"/>
      <c r="R57" s="9"/>
      <c r="S57" s="9"/>
    </row>
    <row r="58" customFormat="false" ht="23.25" hidden="false" customHeight="true" outlineLevel="0" collapsed="false">
      <c r="A58" s="8" t="s">
        <v>248</v>
      </c>
      <c r="B58" s="8" t="s">
        <v>160</v>
      </c>
      <c r="C58" s="8" t="s">
        <v>62</v>
      </c>
      <c r="D58" s="8" t="s">
        <v>249</v>
      </c>
      <c r="E58" s="8" t="s">
        <v>250</v>
      </c>
      <c r="F58" s="8" t="s">
        <v>105</v>
      </c>
      <c r="G58" s="8" t="s">
        <v>239</v>
      </c>
      <c r="H58" s="8" t="s">
        <v>247</v>
      </c>
      <c r="I58" s="8" t="s">
        <v>52</v>
      </c>
      <c r="J58" s="9"/>
      <c r="K58" s="9"/>
      <c r="L58" s="9" t="s">
        <v>54</v>
      </c>
      <c r="M58" s="10" t="str">
        <f aca="false">IF(AND(ISNUMBER(K58),L58&lt;&gt;""),K58*INDEX(Lists!$B$2:$B$7,MATCH(L58,Lists!$A$2:$A$7,0)),"")</f>
        <v/>
      </c>
      <c r="N58" s="9" t="s">
        <v>65</v>
      </c>
      <c r="O58" s="9"/>
      <c r="P58" s="9"/>
      <c r="Q58" s="9"/>
      <c r="R58" s="9"/>
      <c r="S58" s="9"/>
    </row>
    <row r="59" customFormat="false" ht="23.25" hidden="false" customHeight="true" outlineLevel="0" collapsed="false">
      <c r="A59" s="8" t="s">
        <v>251</v>
      </c>
      <c r="B59" s="8" t="s">
        <v>160</v>
      </c>
      <c r="C59" s="8" t="s">
        <v>62</v>
      </c>
      <c r="D59" s="8" t="s">
        <v>252</v>
      </c>
      <c r="E59" s="8" t="s">
        <v>253</v>
      </c>
      <c r="F59" s="8" t="s">
        <v>254</v>
      </c>
      <c r="G59" s="8" t="s">
        <v>255</v>
      </c>
      <c r="H59" s="8" t="s">
        <v>51</v>
      </c>
      <c r="I59" s="8" t="s">
        <v>52</v>
      </c>
      <c r="J59" s="9"/>
      <c r="K59" s="9"/>
      <c r="L59" s="9" t="s">
        <v>54</v>
      </c>
      <c r="M59" s="10" t="str">
        <f aca="false">IF(AND(ISNUMBER(K59),L59&lt;&gt;""),K59*INDEX(Lists!$B$2:$B$7,MATCH(L59,Lists!$A$2:$A$7,0)),"")</f>
        <v/>
      </c>
      <c r="N59" s="9" t="s">
        <v>65</v>
      </c>
      <c r="O59" s="9"/>
      <c r="P59" s="9"/>
      <c r="Q59" s="9"/>
      <c r="R59" s="9"/>
      <c r="S59" s="9"/>
    </row>
    <row r="60" customFormat="false" ht="23.25" hidden="false" customHeight="true" outlineLevel="0" collapsed="false">
      <c r="A60" s="8" t="s">
        <v>256</v>
      </c>
      <c r="B60" s="8" t="s">
        <v>257</v>
      </c>
      <c r="C60" s="8" t="s">
        <v>62</v>
      </c>
      <c r="D60" s="8" t="s">
        <v>258</v>
      </c>
      <c r="E60" s="8" t="s">
        <v>259</v>
      </c>
      <c r="F60" s="8" t="s">
        <v>105</v>
      </c>
      <c r="G60" s="8" t="s">
        <v>255</v>
      </c>
      <c r="H60" s="8" t="s">
        <v>51</v>
      </c>
      <c r="I60" s="8" t="s">
        <v>52</v>
      </c>
      <c r="J60" s="9"/>
      <c r="K60" s="9"/>
      <c r="L60" s="9" t="s">
        <v>54</v>
      </c>
      <c r="M60" s="10" t="str">
        <f aca="false">IF(AND(ISNUMBER(K60),L60&lt;&gt;""),K60*INDEX(Lists!$B$2:$B$7,MATCH(L60,Lists!$A$2:$A$7,0)),"")</f>
        <v/>
      </c>
      <c r="N60" s="9" t="s">
        <v>65</v>
      </c>
      <c r="O60" s="9"/>
      <c r="P60" s="9"/>
      <c r="Q60" s="9"/>
      <c r="R60" s="9"/>
      <c r="S60" s="9"/>
    </row>
    <row r="61" customFormat="false" ht="23.25" hidden="false" customHeight="true" outlineLevel="0" collapsed="false">
      <c r="A61" s="8" t="s">
        <v>260</v>
      </c>
      <c r="B61" s="8" t="s">
        <v>257</v>
      </c>
      <c r="C61" s="8" t="s">
        <v>62</v>
      </c>
      <c r="D61" s="8" t="s">
        <v>261</v>
      </c>
      <c r="E61" s="8" t="s">
        <v>262</v>
      </c>
      <c r="F61" s="8" t="s">
        <v>105</v>
      </c>
      <c r="G61" s="8" t="s">
        <v>255</v>
      </c>
      <c r="H61" s="8" t="s">
        <v>51</v>
      </c>
      <c r="I61" s="8" t="s">
        <v>52</v>
      </c>
      <c r="J61" s="9"/>
      <c r="K61" s="9"/>
      <c r="L61" s="9" t="s">
        <v>54</v>
      </c>
      <c r="M61" s="10" t="str">
        <f aca="false">IF(AND(ISNUMBER(K61),L61&lt;&gt;""),K61*INDEX(Lists!$B$2:$B$7,MATCH(L61,Lists!$A$2:$A$7,0)),"")</f>
        <v/>
      </c>
      <c r="N61" s="9" t="s">
        <v>65</v>
      </c>
      <c r="O61" s="9"/>
      <c r="P61" s="9"/>
      <c r="Q61" s="9"/>
      <c r="R61" s="9"/>
      <c r="S61" s="9"/>
    </row>
    <row r="62" customFormat="false" ht="23.25" hidden="false" customHeight="true" outlineLevel="0" collapsed="false">
      <c r="A62" s="8" t="s">
        <v>263</v>
      </c>
      <c r="B62" s="8" t="s">
        <v>257</v>
      </c>
      <c r="C62" s="8" t="s">
        <v>62</v>
      </c>
      <c r="D62" s="8" t="s">
        <v>264</v>
      </c>
      <c r="E62" s="8" t="s">
        <v>265</v>
      </c>
      <c r="F62" s="8" t="s">
        <v>266</v>
      </c>
      <c r="G62" s="8" t="s">
        <v>255</v>
      </c>
      <c r="H62" s="8" t="s">
        <v>51</v>
      </c>
      <c r="I62" s="8" t="s">
        <v>52</v>
      </c>
      <c r="J62" s="9"/>
      <c r="K62" s="9"/>
      <c r="L62" s="9" t="s">
        <v>54</v>
      </c>
      <c r="M62" s="10" t="str">
        <f aca="false">IF(AND(ISNUMBER(K62),L62&lt;&gt;""),K62*INDEX(Lists!$B$2:$B$7,MATCH(L62,Lists!$A$2:$A$7,0)),"")</f>
        <v/>
      </c>
      <c r="N62" s="9" t="s">
        <v>65</v>
      </c>
      <c r="O62" s="9"/>
      <c r="P62" s="9"/>
      <c r="Q62" s="9"/>
      <c r="R62" s="9"/>
      <c r="S62" s="9"/>
    </row>
    <row r="63" customFormat="false" ht="23.25" hidden="false" customHeight="true" outlineLevel="0" collapsed="false">
      <c r="A63" s="8" t="s">
        <v>267</v>
      </c>
      <c r="B63" s="8" t="s">
        <v>257</v>
      </c>
      <c r="C63" s="8" t="s">
        <v>62</v>
      </c>
      <c r="D63" s="8" t="s">
        <v>268</v>
      </c>
      <c r="E63" s="8" t="s">
        <v>269</v>
      </c>
      <c r="F63" s="8" t="s">
        <v>105</v>
      </c>
      <c r="G63" s="8" t="s">
        <v>255</v>
      </c>
      <c r="H63" s="8" t="s">
        <v>51</v>
      </c>
      <c r="I63" s="8" t="s">
        <v>52</v>
      </c>
      <c r="J63" s="9"/>
      <c r="K63" s="9"/>
      <c r="L63" s="9" t="s">
        <v>54</v>
      </c>
      <c r="M63" s="10" t="str">
        <f aca="false">IF(AND(ISNUMBER(K63),L63&lt;&gt;""),K63*INDEX(Lists!$B$2:$B$7,MATCH(L63,Lists!$A$2:$A$7,0)),"")</f>
        <v/>
      </c>
      <c r="N63" s="9" t="s">
        <v>65</v>
      </c>
      <c r="O63" s="9"/>
      <c r="P63" s="9"/>
      <c r="Q63" s="9"/>
      <c r="R63" s="9"/>
      <c r="S63" s="9"/>
    </row>
    <row r="64" customFormat="false" ht="23.25" hidden="false" customHeight="true" outlineLevel="0" collapsed="false">
      <c r="A64" s="8" t="s">
        <v>270</v>
      </c>
      <c r="B64" s="8" t="s">
        <v>257</v>
      </c>
      <c r="C64" s="8" t="s">
        <v>62</v>
      </c>
      <c r="D64" s="8" t="s">
        <v>271</v>
      </c>
      <c r="E64" s="8" t="s">
        <v>272</v>
      </c>
      <c r="F64" s="8" t="s">
        <v>266</v>
      </c>
      <c r="G64" s="8" t="s">
        <v>255</v>
      </c>
      <c r="H64" s="8" t="s">
        <v>51</v>
      </c>
      <c r="I64" s="8" t="s">
        <v>132</v>
      </c>
      <c r="J64" s="9"/>
      <c r="K64" s="9"/>
      <c r="L64" s="9" t="s">
        <v>54</v>
      </c>
      <c r="M64" s="10" t="str">
        <f aca="false">IF(AND(ISNUMBER(K64),L64&lt;&gt;""),K64*INDEX(Lists!$B$2:$B$7,MATCH(L64,Lists!$A$2:$A$7,0)),"")</f>
        <v/>
      </c>
      <c r="N64" s="9" t="s">
        <v>65</v>
      </c>
      <c r="O64" s="9"/>
      <c r="P64" s="9"/>
      <c r="Q64" s="9"/>
      <c r="R64" s="9"/>
      <c r="S64" s="9"/>
    </row>
    <row r="65" customFormat="false" ht="23.25" hidden="false" customHeight="true" outlineLevel="0" collapsed="false">
      <c r="A65" s="8" t="s">
        <v>273</v>
      </c>
      <c r="B65" s="8" t="s">
        <v>274</v>
      </c>
      <c r="C65" s="8" t="s">
        <v>62</v>
      </c>
      <c r="D65" s="8" t="s">
        <v>275</v>
      </c>
      <c r="E65" s="8" t="s">
        <v>276</v>
      </c>
      <c r="F65" s="8" t="s">
        <v>105</v>
      </c>
      <c r="G65" s="8" t="s">
        <v>277</v>
      </c>
      <c r="H65" s="8" t="s">
        <v>247</v>
      </c>
      <c r="I65" s="8" t="s">
        <v>52</v>
      </c>
      <c r="J65" s="9"/>
      <c r="K65" s="9"/>
      <c r="L65" s="9" t="s">
        <v>54</v>
      </c>
      <c r="M65" s="10" t="str">
        <f aca="false">IF(AND(ISNUMBER(K65),L65&lt;&gt;""),K65*INDEX(Lists!$B$2:$B$7,MATCH(L65,Lists!$A$2:$A$7,0)),"")</f>
        <v/>
      </c>
      <c r="N65" s="9" t="s">
        <v>65</v>
      </c>
      <c r="O65" s="9"/>
      <c r="P65" s="9"/>
      <c r="Q65" s="9"/>
      <c r="R65" s="9"/>
      <c r="S65" s="9"/>
    </row>
    <row r="66" customFormat="false" ht="23.25" hidden="false" customHeight="true" outlineLevel="0" collapsed="false">
      <c r="A66" s="8" t="s">
        <v>278</v>
      </c>
      <c r="B66" s="8" t="s">
        <v>274</v>
      </c>
      <c r="C66" s="8" t="s">
        <v>46</v>
      </c>
      <c r="D66" s="8" t="s">
        <v>279</v>
      </c>
      <c r="E66" s="8" t="s">
        <v>280</v>
      </c>
      <c r="F66" s="8" t="s">
        <v>105</v>
      </c>
      <c r="G66" s="8" t="s">
        <v>281</v>
      </c>
      <c r="H66" s="8" t="s">
        <v>247</v>
      </c>
      <c r="I66" s="8" t="s">
        <v>52</v>
      </c>
      <c r="J66" s="9"/>
      <c r="K66" s="9"/>
      <c r="L66" s="9" t="s">
        <v>54</v>
      </c>
      <c r="M66" s="10" t="str">
        <f aca="false">IF(AND(ISNUMBER(K66),L66&lt;&gt;""),K66*INDEX(Lists!$B$2:$B$7,MATCH(L66,Lists!$A$2:$A$7,0)),"")</f>
        <v/>
      </c>
      <c r="N66" s="9" t="s">
        <v>65</v>
      </c>
      <c r="O66" s="9"/>
      <c r="P66" s="9"/>
      <c r="Q66" s="9"/>
      <c r="R66" s="9"/>
      <c r="S66" s="9"/>
    </row>
    <row r="67" customFormat="false" ht="23.25" hidden="false" customHeight="true" outlineLevel="0" collapsed="false">
      <c r="A67" s="8" t="s">
        <v>282</v>
      </c>
      <c r="B67" s="8" t="s">
        <v>274</v>
      </c>
      <c r="C67" s="8" t="s">
        <v>107</v>
      </c>
      <c r="D67" s="8" t="s">
        <v>283</v>
      </c>
      <c r="E67" s="8" t="s">
        <v>280</v>
      </c>
      <c r="F67" s="8" t="s">
        <v>105</v>
      </c>
      <c r="G67" s="8" t="s">
        <v>281</v>
      </c>
      <c r="H67" s="8" t="s">
        <v>247</v>
      </c>
      <c r="I67" s="8" t="s">
        <v>52</v>
      </c>
      <c r="J67" s="9"/>
      <c r="K67" s="9"/>
      <c r="L67" s="9" t="s">
        <v>54</v>
      </c>
      <c r="M67" s="10" t="str">
        <f aca="false">IF(AND(ISNUMBER(K67),L67&lt;&gt;""),K67*INDEX(Lists!$B$2:$B$7,MATCH(L67,Lists!$A$2:$A$7,0)),"")</f>
        <v/>
      </c>
      <c r="N67" s="9" t="s">
        <v>65</v>
      </c>
      <c r="O67" s="9"/>
      <c r="P67" s="9"/>
      <c r="Q67" s="9"/>
      <c r="R67" s="9"/>
      <c r="S67" s="9"/>
    </row>
    <row r="68" customFormat="false" ht="23.25" hidden="false" customHeight="true" outlineLevel="0" collapsed="false">
      <c r="A68" s="8" t="s">
        <v>284</v>
      </c>
      <c r="B68" s="8" t="s">
        <v>285</v>
      </c>
      <c r="C68" s="8" t="s">
        <v>62</v>
      </c>
      <c r="D68" s="8" t="s">
        <v>286</v>
      </c>
      <c r="E68" s="8" t="s">
        <v>287</v>
      </c>
      <c r="F68" s="8" t="s">
        <v>105</v>
      </c>
      <c r="G68" s="8" t="s">
        <v>210</v>
      </c>
      <c r="H68" s="8" t="s">
        <v>51</v>
      </c>
      <c r="I68" s="8" t="s">
        <v>211</v>
      </c>
      <c r="J68" s="9"/>
      <c r="K68" s="9"/>
      <c r="L68" s="9" t="s">
        <v>54</v>
      </c>
      <c r="M68" s="10" t="str">
        <f aca="false">IF(AND(ISNUMBER(K68),L68&lt;&gt;""),K68*INDEX(Lists!$B$2:$B$7,MATCH(L68,Lists!$A$2:$A$7,0)),"")</f>
        <v/>
      </c>
      <c r="N68" s="9" t="s">
        <v>65</v>
      </c>
      <c r="O68" s="9"/>
      <c r="P68" s="9"/>
      <c r="Q68" s="9"/>
      <c r="R68" s="9"/>
      <c r="S68" s="9"/>
    </row>
    <row r="69" customFormat="false" ht="23.25" hidden="false" customHeight="true" outlineLevel="0" collapsed="false">
      <c r="A69" s="8" t="s">
        <v>288</v>
      </c>
      <c r="B69" s="8" t="s">
        <v>285</v>
      </c>
      <c r="C69" s="8" t="s">
        <v>62</v>
      </c>
      <c r="D69" s="8" t="s">
        <v>289</v>
      </c>
      <c r="E69" s="8" t="s">
        <v>287</v>
      </c>
      <c r="F69" s="8" t="s">
        <v>105</v>
      </c>
      <c r="G69" s="8" t="s">
        <v>210</v>
      </c>
      <c r="H69" s="8" t="s">
        <v>51</v>
      </c>
      <c r="I69" s="8" t="s">
        <v>211</v>
      </c>
      <c r="J69" s="9"/>
      <c r="K69" s="9"/>
      <c r="L69" s="9" t="s">
        <v>54</v>
      </c>
      <c r="M69" s="10" t="str">
        <f aca="false">IF(AND(ISNUMBER(K69),L69&lt;&gt;""),K69*INDEX(Lists!$B$2:$B$7,MATCH(L69,Lists!$A$2:$A$7,0)),"")</f>
        <v/>
      </c>
      <c r="N69" s="9" t="s">
        <v>65</v>
      </c>
      <c r="O69" s="9"/>
      <c r="P69" s="9"/>
      <c r="Q69" s="9"/>
      <c r="R69" s="9"/>
      <c r="S69" s="9"/>
    </row>
    <row r="70" customFormat="false" ht="23.25" hidden="false" customHeight="true" outlineLevel="0" collapsed="false">
      <c r="A70" s="8" t="s">
        <v>290</v>
      </c>
      <c r="B70" s="8" t="s">
        <v>285</v>
      </c>
      <c r="C70" s="8" t="s">
        <v>62</v>
      </c>
      <c r="D70" s="8" t="s">
        <v>291</v>
      </c>
      <c r="E70" s="8" t="s">
        <v>287</v>
      </c>
      <c r="F70" s="8" t="s">
        <v>105</v>
      </c>
      <c r="G70" s="8" t="s">
        <v>210</v>
      </c>
      <c r="H70" s="8" t="s">
        <v>51</v>
      </c>
      <c r="I70" s="8" t="s">
        <v>211</v>
      </c>
      <c r="J70" s="9"/>
      <c r="K70" s="9"/>
      <c r="L70" s="9" t="s">
        <v>54</v>
      </c>
      <c r="M70" s="10" t="str">
        <f aca="false">IF(AND(ISNUMBER(K70),L70&lt;&gt;""),K70*INDEX(Lists!$B$2:$B$7,MATCH(L70,Lists!$A$2:$A$7,0)),"")</f>
        <v/>
      </c>
      <c r="N70" s="9" t="s">
        <v>65</v>
      </c>
      <c r="O70" s="9"/>
      <c r="P70" s="9"/>
      <c r="Q70" s="9"/>
      <c r="R70" s="9"/>
      <c r="S70" s="9"/>
    </row>
    <row r="71" customFormat="false" ht="23.25" hidden="false" customHeight="true" outlineLevel="0" collapsed="false">
      <c r="A71" s="8" t="s">
        <v>292</v>
      </c>
      <c r="B71" s="8" t="s">
        <v>285</v>
      </c>
      <c r="C71" s="8" t="s">
        <v>62</v>
      </c>
      <c r="D71" s="8" t="s">
        <v>293</v>
      </c>
      <c r="E71" s="8" t="s">
        <v>287</v>
      </c>
      <c r="F71" s="8" t="s">
        <v>105</v>
      </c>
      <c r="G71" s="8" t="s">
        <v>210</v>
      </c>
      <c r="H71" s="8" t="s">
        <v>51</v>
      </c>
      <c r="I71" s="8" t="s">
        <v>211</v>
      </c>
      <c r="J71" s="9"/>
      <c r="K71" s="9"/>
      <c r="L71" s="9" t="s">
        <v>54</v>
      </c>
      <c r="M71" s="10" t="str">
        <f aca="false">IF(AND(ISNUMBER(K71),L71&lt;&gt;""),K71*INDEX(Lists!$B$2:$B$7,MATCH(L71,Lists!$A$2:$A$7,0)),"")</f>
        <v/>
      </c>
      <c r="N71" s="9" t="s">
        <v>65</v>
      </c>
      <c r="O71" s="9"/>
      <c r="P71" s="9"/>
      <c r="Q71" s="9"/>
      <c r="R71" s="9"/>
      <c r="S71" s="9"/>
    </row>
    <row r="72" customFormat="false" ht="23.25" hidden="false" customHeight="true" outlineLevel="0" collapsed="false">
      <c r="A72" s="8" t="s">
        <v>294</v>
      </c>
      <c r="B72" s="8" t="s">
        <v>285</v>
      </c>
      <c r="C72" s="8" t="s">
        <v>62</v>
      </c>
      <c r="D72" s="8" t="s">
        <v>295</v>
      </c>
      <c r="E72" s="8" t="s">
        <v>287</v>
      </c>
      <c r="F72" s="8" t="s">
        <v>105</v>
      </c>
      <c r="G72" s="8" t="s">
        <v>210</v>
      </c>
      <c r="H72" s="8" t="s">
        <v>51</v>
      </c>
      <c r="I72" s="8" t="s">
        <v>211</v>
      </c>
      <c r="J72" s="9"/>
      <c r="K72" s="9"/>
      <c r="L72" s="9" t="s">
        <v>54</v>
      </c>
      <c r="M72" s="10" t="str">
        <f aca="false">IF(AND(ISNUMBER(K72),L72&lt;&gt;""),K72*INDEX(Lists!$B$2:$B$7,MATCH(L72,Lists!$A$2:$A$7,0)),"")</f>
        <v/>
      </c>
      <c r="N72" s="9" t="s">
        <v>65</v>
      </c>
      <c r="O72" s="9"/>
      <c r="P72" s="9"/>
      <c r="Q72" s="9"/>
      <c r="R72" s="9"/>
      <c r="S72" s="9"/>
    </row>
    <row r="73" customFormat="false" ht="15" hidden="false" customHeight="true" outlineLevel="0" collapsed="false">
      <c r="A73" s="9"/>
      <c r="B73" s="9"/>
      <c r="C73" s="9"/>
      <c r="D73" s="9"/>
      <c r="E73" s="9"/>
      <c r="F73" s="9"/>
      <c r="G73" s="9"/>
      <c r="H73" s="9"/>
      <c r="I73" s="9"/>
      <c r="J73" s="9"/>
      <c r="K73" s="9"/>
      <c r="L73" s="9"/>
      <c r="M73" s="10" t="str">
        <f aca="false">IF(AND(ISNUMBER(K73),L73&lt;&gt;""),K73*INDEX(Lists!$B$2:$B$7,MATCH(L73,Lists!$A$2:$A$7,0)),"")</f>
        <v/>
      </c>
      <c r="N73" s="9"/>
      <c r="O73" s="9"/>
      <c r="P73" s="9"/>
      <c r="Q73" s="9"/>
      <c r="R73" s="9"/>
      <c r="S73" s="9"/>
    </row>
    <row r="74" customFormat="false" ht="15" hidden="false" customHeight="true" outlineLevel="0" collapsed="false">
      <c r="A74" s="9"/>
      <c r="B74" s="9"/>
      <c r="C74" s="9"/>
      <c r="D74" s="9"/>
      <c r="E74" s="9"/>
      <c r="F74" s="9"/>
      <c r="G74" s="9"/>
      <c r="H74" s="9"/>
      <c r="I74" s="9"/>
      <c r="J74" s="9"/>
      <c r="K74" s="9"/>
      <c r="L74" s="9"/>
      <c r="M74" s="10" t="str">
        <f aca="false">IF(AND(ISNUMBER(K74),L74&lt;&gt;""),K74*INDEX(Lists!$B$2:$B$7,MATCH(L74,Lists!$A$2:$A$7,0)),"")</f>
        <v/>
      </c>
      <c r="N74" s="9"/>
      <c r="O74" s="9"/>
      <c r="P74" s="9"/>
      <c r="Q74" s="9"/>
      <c r="R74" s="9"/>
      <c r="S74" s="9"/>
    </row>
    <row r="75" customFormat="false" ht="15" hidden="false" customHeight="true" outlineLevel="0" collapsed="false">
      <c r="A75" s="9"/>
      <c r="B75" s="9"/>
      <c r="C75" s="9"/>
      <c r="D75" s="9"/>
      <c r="E75" s="9"/>
      <c r="F75" s="9"/>
      <c r="G75" s="9"/>
      <c r="H75" s="9"/>
      <c r="I75" s="9"/>
      <c r="J75" s="9"/>
      <c r="K75" s="9"/>
      <c r="L75" s="9"/>
      <c r="M75" s="10" t="str">
        <f aca="false">IF(AND(ISNUMBER(K75),L75&lt;&gt;""),K75*INDEX(Lists!$B$2:$B$7,MATCH(L75,Lists!$A$2:$A$7,0)),"")</f>
        <v/>
      </c>
      <c r="N75" s="9"/>
      <c r="O75" s="9"/>
      <c r="P75" s="9"/>
      <c r="Q75" s="9"/>
      <c r="R75" s="9"/>
      <c r="S75" s="9"/>
    </row>
    <row r="76" customFormat="false" ht="15" hidden="false" customHeight="true" outlineLevel="0" collapsed="false">
      <c r="A76" s="9"/>
      <c r="B76" s="9"/>
      <c r="C76" s="9"/>
      <c r="D76" s="9"/>
      <c r="E76" s="9"/>
      <c r="F76" s="9"/>
      <c r="G76" s="9"/>
      <c r="H76" s="9"/>
      <c r="I76" s="9"/>
      <c r="J76" s="9"/>
      <c r="K76" s="9"/>
      <c r="L76" s="9"/>
      <c r="M76" s="10" t="str">
        <f aca="false">IF(AND(ISNUMBER(K76),L76&lt;&gt;""),K76*INDEX(Lists!$B$2:$B$7,MATCH(L76,Lists!$A$2:$A$7,0)),"")</f>
        <v/>
      </c>
      <c r="N76" s="9"/>
      <c r="O76" s="9"/>
      <c r="P76" s="9"/>
      <c r="Q76" s="9"/>
      <c r="R76" s="9"/>
      <c r="S76" s="9"/>
    </row>
    <row r="77" customFormat="false" ht="15" hidden="false" customHeight="true" outlineLevel="0" collapsed="false">
      <c r="A77" s="9"/>
      <c r="B77" s="9"/>
      <c r="C77" s="9"/>
      <c r="D77" s="9"/>
      <c r="E77" s="9"/>
      <c r="F77" s="9"/>
      <c r="G77" s="9"/>
      <c r="H77" s="9"/>
      <c r="I77" s="9"/>
      <c r="J77" s="9"/>
      <c r="K77" s="9"/>
      <c r="L77" s="9"/>
      <c r="M77" s="10" t="str">
        <f aca="false">IF(AND(ISNUMBER(K77),L77&lt;&gt;""),K77*INDEX(Lists!$B$2:$B$7,MATCH(L77,Lists!$A$2:$A$7,0)),"")</f>
        <v/>
      </c>
      <c r="N77" s="9"/>
      <c r="O77" s="9"/>
      <c r="P77" s="9"/>
      <c r="Q77" s="9"/>
      <c r="R77" s="9"/>
      <c r="S77" s="9"/>
    </row>
    <row r="78" customFormat="false" ht="15" hidden="false" customHeight="true" outlineLevel="0" collapsed="false">
      <c r="A78" s="9"/>
      <c r="B78" s="9"/>
      <c r="C78" s="9"/>
      <c r="D78" s="9"/>
      <c r="E78" s="9"/>
      <c r="F78" s="9"/>
      <c r="G78" s="9"/>
      <c r="H78" s="9"/>
      <c r="I78" s="9"/>
      <c r="J78" s="9"/>
      <c r="K78" s="9"/>
      <c r="L78" s="9"/>
      <c r="M78" s="10" t="str">
        <f aca="false">IF(AND(ISNUMBER(K78),L78&lt;&gt;""),K78*INDEX(Lists!$B$2:$B$7,MATCH(L78,Lists!$A$2:$A$7,0)),"")</f>
        <v/>
      </c>
      <c r="N78" s="9"/>
      <c r="O78" s="9"/>
      <c r="P78" s="9"/>
      <c r="Q78" s="9"/>
      <c r="R78" s="9"/>
      <c r="S78" s="9"/>
    </row>
    <row r="79" customFormat="false" ht="15" hidden="false" customHeight="true" outlineLevel="0" collapsed="false">
      <c r="A79" s="9"/>
      <c r="B79" s="9"/>
      <c r="C79" s="9"/>
      <c r="D79" s="9"/>
      <c r="E79" s="9"/>
      <c r="F79" s="9"/>
      <c r="G79" s="9"/>
      <c r="H79" s="9"/>
      <c r="I79" s="9"/>
      <c r="J79" s="9"/>
      <c r="K79" s="9"/>
      <c r="L79" s="9"/>
      <c r="M79" s="10" t="str">
        <f aca="false">IF(AND(ISNUMBER(K79),L79&lt;&gt;""),K79*INDEX(Lists!$B$2:$B$7,MATCH(L79,Lists!$A$2:$A$7,0)),"")</f>
        <v/>
      </c>
      <c r="N79" s="9"/>
      <c r="O79" s="9"/>
      <c r="P79" s="9"/>
      <c r="Q79" s="9"/>
      <c r="R79" s="9"/>
      <c r="S79" s="9"/>
    </row>
    <row r="80" customFormat="false" ht="15" hidden="false" customHeight="true" outlineLevel="0" collapsed="false">
      <c r="A80" s="9"/>
      <c r="B80" s="9"/>
      <c r="C80" s="9"/>
      <c r="D80" s="9"/>
      <c r="E80" s="9"/>
      <c r="F80" s="9"/>
      <c r="G80" s="9"/>
      <c r="H80" s="9"/>
      <c r="I80" s="9"/>
      <c r="J80" s="9"/>
      <c r="K80" s="9"/>
      <c r="L80" s="9"/>
      <c r="M80" s="10" t="str">
        <f aca="false">IF(AND(ISNUMBER(K80),L80&lt;&gt;""),K80*INDEX(Lists!$B$2:$B$7,MATCH(L80,Lists!$A$2:$A$7,0)),"")</f>
        <v/>
      </c>
      <c r="N80" s="9"/>
      <c r="O80" s="9"/>
      <c r="P80" s="9"/>
      <c r="Q80" s="9"/>
      <c r="R80" s="9"/>
      <c r="S80" s="9"/>
    </row>
    <row r="81" customFormat="false" ht="15" hidden="false" customHeight="true" outlineLevel="0" collapsed="false">
      <c r="A81" s="9"/>
      <c r="B81" s="9"/>
      <c r="C81" s="9"/>
      <c r="D81" s="9"/>
      <c r="E81" s="9"/>
      <c r="F81" s="9"/>
      <c r="G81" s="9"/>
      <c r="H81" s="9"/>
      <c r="I81" s="9"/>
      <c r="J81" s="9"/>
      <c r="K81" s="9"/>
      <c r="L81" s="9"/>
      <c r="M81" s="10" t="str">
        <f aca="false">IF(AND(ISNUMBER(K81),L81&lt;&gt;""),K81*INDEX(Lists!$B$2:$B$7,MATCH(L81,Lists!$A$2:$A$7,0)),"")</f>
        <v/>
      </c>
      <c r="N81" s="9"/>
      <c r="O81" s="9"/>
      <c r="P81" s="9"/>
      <c r="Q81" s="9"/>
      <c r="R81" s="9"/>
      <c r="S81" s="9"/>
    </row>
    <row r="82" customFormat="false" ht="15" hidden="false" customHeight="true" outlineLevel="0" collapsed="false">
      <c r="A82" s="9"/>
      <c r="B82" s="9"/>
      <c r="C82" s="9"/>
      <c r="D82" s="9"/>
      <c r="E82" s="9"/>
      <c r="F82" s="9"/>
      <c r="G82" s="9"/>
      <c r="H82" s="9"/>
      <c r="I82" s="9"/>
      <c r="J82" s="9"/>
      <c r="K82" s="9"/>
      <c r="L82" s="9"/>
      <c r="M82" s="10" t="str">
        <f aca="false">IF(AND(ISNUMBER(K82),L82&lt;&gt;""),K82*INDEX(Lists!$B$2:$B$7,MATCH(L82,Lists!$A$2:$A$7,0)),"")</f>
        <v/>
      </c>
      <c r="N82" s="9"/>
      <c r="O82" s="9"/>
      <c r="P82" s="9"/>
      <c r="Q82" s="9"/>
      <c r="R82" s="9"/>
      <c r="S82" s="9"/>
    </row>
    <row r="83" customFormat="false" ht="15" hidden="false" customHeight="true" outlineLevel="0" collapsed="false">
      <c r="A83" s="9"/>
      <c r="B83" s="9"/>
      <c r="C83" s="9"/>
      <c r="D83" s="9"/>
      <c r="E83" s="9"/>
      <c r="F83" s="9"/>
      <c r="G83" s="9"/>
      <c r="H83" s="9"/>
      <c r="I83" s="9"/>
      <c r="J83" s="9"/>
      <c r="K83" s="9"/>
      <c r="L83" s="9"/>
      <c r="M83" s="10" t="str">
        <f aca="false">IF(AND(ISNUMBER(K83),L83&lt;&gt;""),K83*INDEX(Lists!$B$2:$B$7,MATCH(L83,Lists!$A$2:$A$7,0)),"")</f>
        <v/>
      </c>
      <c r="N83" s="9"/>
      <c r="O83" s="9"/>
      <c r="P83" s="9"/>
      <c r="Q83" s="9"/>
      <c r="R83" s="9"/>
      <c r="S83" s="9"/>
    </row>
    <row r="84" customFormat="false" ht="15" hidden="false" customHeight="true" outlineLevel="0" collapsed="false">
      <c r="A84" s="9"/>
      <c r="B84" s="9"/>
      <c r="C84" s="9"/>
      <c r="D84" s="9"/>
      <c r="E84" s="9"/>
      <c r="F84" s="9"/>
      <c r="G84" s="9"/>
      <c r="H84" s="9"/>
      <c r="I84" s="9"/>
      <c r="J84" s="9"/>
      <c r="K84" s="9"/>
      <c r="L84" s="9"/>
      <c r="M84" s="10" t="str">
        <f aca="false">IF(AND(ISNUMBER(K84),L84&lt;&gt;""),K84*INDEX(Lists!$B$2:$B$7,MATCH(L84,Lists!$A$2:$A$7,0)),"")</f>
        <v/>
      </c>
      <c r="N84" s="9"/>
      <c r="O84" s="9"/>
      <c r="P84" s="9"/>
      <c r="Q84" s="9"/>
      <c r="R84" s="9"/>
      <c r="S84" s="9"/>
    </row>
    <row r="85" customFormat="false" ht="15" hidden="false" customHeight="true" outlineLevel="0" collapsed="false">
      <c r="A85" s="9"/>
      <c r="B85" s="9"/>
      <c r="C85" s="9"/>
      <c r="D85" s="9"/>
      <c r="E85" s="9"/>
      <c r="F85" s="9"/>
      <c r="G85" s="9"/>
      <c r="H85" s="9"/>
      <c r="I85" s="9"/>
      <c r="J85" s="9"/>
      <c r="K85" s="9"/>
      <c r="L85" s="9"/>
      <c r="M85" s="10" t="str">
        <f aca="false">IF(AND(ISNUMBER(K85),L85&lt;&gt;""),K85*INDEX(Lists!$B$2:$B$7,MATCH(L85,Lists!$A$2:$A$7,0)),"")</f>
        <v/>
      </c>
      <c r="N85" s="9"/>
      <c r="O85" s="9"/>
      <c r="P85" s="9"/>
      <c r="Q85" s="9"/>
      <c r="R85" s="9"/>
      <c r="S85" s="9"/>
    </row>
    <row r="86" customFormat="false" ht="15" hidden="false" customHeight="true" outlineLevel="0" collapsed="false">
      <c r="A86" s="9"/>
      <c r="B86" s="9"/>
      <c r="C86" s="9"/>
      <c r="D86" s="9"/>
      <c r="E86" s="9"/>
      <c r="F86" s="9"/>
      <c r="G86" s="9"/>
      <c r="H86" s="9"/>
      <c r="I86" s="9"/>
      <c r="J86" s="9"/>
      <c r="K86" s="9"/>
      <c r="L86" s="9"/>
      <c r="M86" s="10" t="str">
        <f aca="false">IF(AND(ISNUMBER(K86),L86&lt;&gt;""),K86*INDEX(Lists!$B$2:$B$7,MATCH(L86,Lists!$A$2:$A$7,0)),"")</f>
        <v/>
      </c>
      <c r="N86" s="9"/>
      <c r="O86" s="9"/>
      <c r="P86" s="9"/>
      <c r="Q86" s="9"/>
      <c r="R86" s="9"/>
      <c r="S86" s="9"/>
    </row>
    <row r="87" customFormat="false" ht="15" hidden="false" customHeight="true" outlineLevel="0" collapsed="false">
      <c r="A87" s="9"/>
      <c r="B87" s="9"/>
      <c r="C87" s="9"/>
      <c r="D87" s="9"/>
      <c r="E87" s="9"/>
      <c r="F87" s="9"/>
      <c r="G87" s="9"/>
      <c r="H87" s="9"/>
      <c r="I87" s="9"/>
      <c r="J87" s="9"/>
      <c r="K87" s="9"/>
      <c r="L87" s="9"/>
      <c r="M87" s="10" t="str">
        <f aca="false">IF(AND(ISNUMBER(K87),L87&lt;&gt;""),K87*INDEX(Lists!$B$2:$B$7,MATCH(L87,Lists!$A$2:$A$7,0)),"")</f>
        <v/>
      </c>
      <c r="N87" s="9"/>
      <c r="O87" s="9"/>
      <c r="P87" s="9"/>
      <c r="Q87" s="9"/>
      <c r="R87" s="9"/>
      <c r="S87" s="9"/>
    </row>
    <row r="88" customFormat="false" ht="15" hidden="false" customHeight="true" outlineLevel="0" collapsed="false">
      <c r="A88" s="9"/>
      <c r="B88" s="9"/>
      <c r="C88" s="9"/>
      <c r="D88" s="9"/>
      <c r="E88" s="9"/>
      <c r="F88" s="9"/>
      <c r="G88" s="9"/>
      <c r="H88" s="9"/>
      <c r="I88" s="9"/>
      <c r="J88" s="9"/>
      <c r="K88" s="9"/>
      <c r="L88" s="9"/>
      <c r="M88" s="10" t="str">
        <f aca="false">IF(AND(ISNUMBER(K88),L88&lt;&gt;""),K88*INDEX(Lists!$B$2:$B$7,MATCH(L88,Lists!$A$2:$A$7,0)),"")</f>
        <v/>
      </c>
      <c r="N88" s="9"/>
      <c r="O88" s="9"/>
      <c r="P88" s="9"/>
      <c r="Q88" s="9"/>
      <c r="R88" s="9"/>
      <c r="S88" s="9"/>
    </row>
    <row r="89" customFormat="false" ht="15" hidden="false" customHeight="true" outlineLevel="0" collapsed="false">
      <c r="A89" s="9"/>
      <c r="B89" s="9"/>
      <c r="C89" s="9"/>
      <c r="D89" s="9"/>
      <c r="E89" s="9"/>
      <c r="F89" s="9"/>
      <c r="G89" s="9"/>
      <c r="H89" s="9"/>
      <c r="I89" s="9"/>
      <c r="J89" s="9"/>
      <c r="K89" s="9"/>
      <c r="L89" s="9"/>
      <c r="M89" s="10" t="str">
        <f aca="false">IF(AND(ISNUMBER(K89),L89&lt;&gt;""),K89*INDEX(Lists!$B$2:$B$7,MATCH(L89,Lists!$A$2:$A$7,0)),"")</f>
        <v/>
      </c>
      <c r="N89" s="9"/>
      <c r="O89" s="9"/>
      <c r="P89" s="9"/>
      <c r="Q89" s="9"/>
      <c r="R89" s="9"/>
      <c r="S89" s="9"/>
    </row>
    <row r="90" customFormat="false" ht="15" hidden="false" customHeight="true" outlineLevel="0" collapsed="false">
      <c r="A90" s="9"/>
      <c r="B90" s="9"/>
      <c r="C90" s="9"/>
      <c r="D90" s="9"/>
      <c r="E90" s="9"/>
      <c r="F90" s="9"/>
      <c r="G90" s="9"/>
      <c r="H90" s="9"/>
      <c r="I90" s="9"/>
      <c r="J90" s="9"/>
      <c r="K90" s="9"/>
      <c r="L90" s="9"/>
      <c r="M90" s="10" t="str">
        <f aca="false">IF(AND(ISNUMBER(K90),L90&lt;&gt;""),K90*INDEX(Lists!$B$2:$B$7,MATCH(L90,Lists!$A$2:$A$7,0)),"")</f>
        <v/>
      </c>
      <c r="N90" s="9"/>
      <c r="O90" s="9"/>
      <c r="P90" s="9"/>
      <c r="Q90" s="9"/>
      <c r="R90" s="9"/>
      <c r="S90" s="9"/>
    </row>
    <row r="91" customFormat="false" ht="15" hidden="false" customHeight="true" outlineLevel="0" collapsed="false">
      <c r="A91" s="9"/>
      <c r="B91" s="9"/>
      <c r="C91" s="9"/>
      <c r="D91" s="9"/>
      <c r="E91" s="9"/>
      <c r="F91" s="9"/>
      <c r="G91" s="9"/>
      <c r="H91" s="9"/>
      <c r="I91" s="9"/>
      <c r="J91" s="9"/>
      <c r="K91" s="9"/>
      <c r="L91" s="9"/>
      <c r="M91" s="10" t="str">
        <f aca="false">IF(AND(ISNUMBER(K91),L91&lt;&gt;""),K91*INDEX(Lists!$B$2:$B$7,MATCH(L91,Lists!$A$2:$A$7,0)),"")</f>
        <v/>
      </c>
      <c r="N91" s="9"/>
      <c r="O91" s="9"/>
      <c r="P91" s="9"/>
      <c r="Q91" s="9"/>
      <c r="R91" s="9"/>
      <c r="S91" s="9"/>
    </row>
    <row r="92" customFormat="false" ht="15" hidden="false" customHeight="true" outlineLevel="0" collapsed="false">
      <c r="A92" s="9"/>
      <c r="B92" s="9"/>
      <c r="C92" s="9"/>
      <c r="D92" s="9"/>
      <c r="E92" s="9"/>
      <c r="F92" s="9"/>
      <c r="G92" s="9"/>
      <c r="H92" s="9"/>
      <c r="I92" s="9"/>
      <c r="J92" s="9"/>
      <c r="K92" s="9"/>
      <c r="L92" s="9"/>
      <c r="M92" s="10" t="str">
        <f aca="false">IF(AND(ISNUMBER(K92),L92&lt;&gt;""),K92*INDEX(Lists!$B$2:$B$7,MATCH(L92,Lists!$A$2:$A$7,0)),"")</f>
        <v/>
      </c>
      <c r="N92" s="9"/>
      <c r="O92" s="9"/>
      <c r="P92" s="9"/>
      <c r="Q92" s="9"/>
      <c r="R92" s="9"/>
      <c r="S92" s="9"/>
    </row>
    <row r="93" customFormat="false" ht="15" hidden="false" customHeight="true" outlineLevel="0" collapsed="false">
      <c r="A93" s="9"/>
      <c r="B93" s="9"/>
      <c r="C93" s="9"/>
      <c r="D93" s="9"/>
      <c r="E93" s="9"/>
      <c r="F93" s="9"/>
      <c r="G93" s="9"/>
      <c r="H93" s="9"/>
      <c r="I93" s="9"/>
      <c r="J93" s="9"/>
      <c r="K93" s="9"/>
      <c r="L93" s="9"/>
      <c r="M93" s="10" t="str">
        <f aca="false">IF(AND(ISNUMBER(K93),L93&lt;&gt;""),K93*INDEX(Lists!$B$2:$B$7,MATCH(L93,Lists!$A$2:$A$7,0)),"")</f>
        <v/>
      </c>
      <c r="N93" s="9"/>
      <c r="O93" s="9"/>
      <c r="P93" s="9"/>
      <c r="Q93" s="9"/>
      <c r="R93" s="9"/>
      <c r="S93" s="9"/>
    </row>
    <row r="94" customFormat="false" ht="15" hidden="false" customHeight="true" outlineLevel="0" collapsed="false">
      <c r="A94" s="9"/>
      <c r="B94" s="9"/>
      <c r="C94" s="9"/>
      <c r="D94" s="9"/>
      <c r="E94" s="9"/>
      <c r="F94" s="9"/>
      <c r="G94" s="9"/>
      <c r="H94" s="9"/>
      <c r="I94" s="9"/>
      <c r="J94" s="9"/>
      <c r="K94" s="9"/>
      <c r="L94" s="9"/>
      <c r="M94" s="10" t="str">
        <f aca="false">IF(AND(ISNUMBER(K94),L94&lt;&gt;""),K94*INDEX(Lists!$B$2:$B$7,MATCH(L94,Lists!$A$2:$A$7,0)),"")</f>
        <v/>
      </c>
      <c r="N94" s="9"/>
      <c r="O94" s="9"/>
      <c r="P94" s="9"/>
      <c r="Q94" s="9"/>
      <c r="R94" s="9"/>
      <c r="S94" s="9"/>
    </row>
    <row r="95" customFormat="false" ht="15" hidden="false" customHeight="true" outlineLevel="0" collapsed="false">
      <c r="A95" s="9"/>
      <c r="B95" s="9"/>
      <c r="C95" s="9"/>
      <c r="D95" s="9"/>
      <c r="E95" s="9"/>
      <c r="F95" s="9"/>
      <c r="G95" s="9"/>
      <c r="H95" s="9"/>
      <c r="I95" s="9"/>
      <c r="J95" s="9"/>
      <c r="K95" s="9"/>
      <c r="L95" s="9"/>
      <c r="M95" s="10" t="str">
        <f aca="false">IF(AND(ISNUMBER(K95),L95&lt;&gt;""),K95*INDEX(Lists!$B$2:$B$7,MATCH(L95,Lists!$A$2:$A$7,0)),"")</f>
        <v/>
      </c>
      <c r="N95" s="9"/>
      <c r="O95" s="9"/>
      <c r="P95" s="9"/>
      <c r="Q95" s="9"/>
      <c r="R95" s="9"/>
      <c r="S95" s="9"/>
    </row>
    <row r="96" customFormat="false" ht="15" hidden="false" customHeight="true" outlineLevel="0" collapsed="false">
      <c r="A96" s="9"/>
      <c r="B96" s="9"/>
      <c r="C96" s="9"/>
      <c r="D96" s="9"/>
      <c r="E96" s="9"/>
      <c r="F96" s="9"/>
      <c r="G96" s="9"/>
      <c r="H96" s="9"/>
      <c r="I96" s="9"/>
      <c r="J96" s="9"/>
      <c r="K96" s="9"/>
      <c r="L96" s="9"/>
      <c r="M96" s="10" t="str">
        <f aca="false">IF(AND(ISNUMBER(K96),L96&lt;&gt;""),K96*INDEX(Lists!$B$2:$B$7,MATCH(L96,Lists!$A$2:$A$7,0)),"")</f>
        <v/>
      </c>
      <c r="N96" s="9"/>
      <c r="O96" s="9"/>
      <c r="P96" s="9"/>
      <c r="Q96" s="9"/>
      <c r="R96" s="9"/>
      <c r="S96" s="9"/>
    </row>
    <row r="97" customFormat="false" ht="15" hidden="false" customHeight="true" outlineLevel="0" collapsed="false">
      <c r="A97" s="9"/>
      <c r="B97" s="9"/>
      <c r="C97" s="9"/>
      <c r="D97" s="9"/>
      <c r="E97" s="9"/>
      <c r="F97" s="9"/>
      <c r="G97" s="9"/>
      <c r="H97" s="9"/>
      <c r="I97" s="9"/>
      <c r="J97" s="9"/>
      <c r="K97" s="9"/>
      <c r="L97" s="9"/>
      <c r="M97" s="10" t="str">
        <f aca="false">IF(AND(ISNUMBER(K97),L97&lt;&gt;""),K97*INDEX(Lists!$B$2:$B$7,MATCH(L97,Lists!$A$2:$A$7,0)),"")</f>
        <v/>
      </c>
      <c r="N97" s="9"/>
      <c r="O97" s="9"/>
      <c r="P97" s="9"/>
      <c r="Q97" s="9"/>
      <c r="R97" s="9"/>
      <c r="S97" s="9"/>
    </row>
    <row r="98" customFormat="false" ht="15" hidden="false" customHeight="true" outlineLevel="0" collapsed="false">
      <c r="A98" s="9"/>
      <c r="B98" s="9"/>
      <c r="C98" s="9"/>
      <c r="D98" s="9"/>
      <c r="E98" s="9"/>
      <c r="F98" s="9"/>
      <c r="G98" s="9"/>
      <c r="H98" s="9"/>
      <c r="I98" s="9"/>
      <c r="J98" s="9"/>
      <c r="K98" s="9"/>
      <c r="L98" s="9"/>
      <c r="M98" s="10" t="str">
        <f aca="false">IF(AND(ISNUMBER(K98),L98&lt;&gt;""),K98*INDEX(Lists!$B$2:$B$7,MATCH(L98,Lists!$A$2:$A$7,0)),"")</f>
        <v/>
      </c>
      <c r="N98" s="9"/>
      <c r="O98" s="9"/>
      <c r="P98" s="9"/>
      <c r="Q98" s="9"/>
      <c r="R98" s="9"/>
      <c r="S98" s="9"/>
    </row>
    <row r="99" customFormat="false" ht="15" hidden="false" customHeight="true" outlineLevel="0" collapsed="false">
      <c r="A99" s="9"/>
      <c r="B99" s="9"/>
      <c r="C99" s="9"/>
      <c r="D99" s="9"/>
      <c r="E99" s="9"/>
      <c r="F99" s="9"/>
      <c r="G99" s="9"/>
      <c r="H99" s="9"/>
      <c r="I99" s="9"/>
      <c r="J99" s="9"/>
      <c r="K99" s="9"/>
      <c r="L99" s="9"/>
      <c r="M99" s="10" t="str">
        <f aca="false">IF(AND(ISNUMBER(K99),L99&lt;&gt;""),K99*INDEX(Lists!$B$2:$B$7,MATCH(L99,Lists!$A$2:$A$7,0)),"")</f>
        <v/>
      </c>
      <c r="N99" s="9"/>
      <c r="O99" s="9"/>
      <c r="P99" s="9"/>
      <c r="Q99" s="9"/>
      <c r="R99" s="9"/>
      <c r="S99" s="9"/>
    </row>
    <row r="100" customFormat="false" ht="15" hidden="false" customHeight="true" outlineLevel="0" collapsed="false">
      <c r="A100" s="9"/>
      <c r="B100" s="9"/>
      <c r="C100" s="9"/>
      <c r="D100" s="9"/>
      <c r="E100" s="9"/>
      <c r="F100" s="9"/>
      <c r="G100" s="9"/>
      <c r="H100" s="9"/>
      <c r="I100" s="9"/>
      <c r="J100" s="9"/>
      <c r="K100" s="9"/>
      <c r="L100" s="9"/>
      <c r="M100" s="10" t="str">
        <f aca="false">IF(AND(ISNUMBER(K100),L100&lt;&gt;""),K100*INDEX(Lists!$B$2:$B$7,MATCH(L100,Lists!$A$2:$A$7,0)),"")</f>
        <v/>
      </c>
      <c r="N100" s="9"/>
      <c r="O100" s="9"/>
      <c r="P100" s="9"/>
      <c r="Q100" s="9"/>
      <c r="R100" s="9"/>
      <c r="S100" s="9"/>
    </row>
    <row r="101" customFormat="false" ht="15" hidden="false" customHeight="true" outlineLevel="0" collapsed="false">
      <c r="A101" s="9"/>
      <c r="B101" s="9"/>
      <c r="C101" s="9"/>
      <c r="D101" s="9"/>
      <c r="E101" s="9"/>
      <c r="F101" s="9"/>
      <c r="G101" s="9"/>
      <c r="H101" s="9"/>
      <c r="I101" s="9"/>
      <c r="J101" s="9"/>
      <c r="K101" s="9"/>
      <c r="L101" s="9"/>
      <c r="M101" s="10" t="str">
        <f aca="false">IF(AND(ISNUMBER(K101),L101&lt;&gt;""),K101*INDEX(Lists!$B$2:$B$7,MATCH(L101,Lists!$A$2:$A$7,0)),"")</f>
        <v/>
      </c>
      <c r="N101" s="9"/>
      <c r="O101" s="9"/>
      <c r="P101" s="9"/>
      <c r="Q101" s="9"/>
      <c r="R101" s="9"/>
      <c r="S101" s="9"/>
    </row>
    <row r="102" customFormat="false" ht="15" hidden="false" customHeight="true" outlineLevel="0" collapsed="false">
      <c r="A102" s="9"/>
      <c r="B102" s="9"/>
      <c r="C102" s="9"/>
      <c r="D102" s="9"/>
      <c r="E102" s="9"/>
      <c r="F102" s="9"/>
      <c r="G102" s="9"/>
      <c r="H102" s="9"/>
      <c r="I102" s="9"/>
      <c r="J102" s="9"/>
      <c r="K102" s="9"/>
      <c r="L102" s="9"/>
      <c r="M102" s="10" t="str">
        <f aca="false">IF(AND(ISNUMBER(K102),L102&lt;&gt;""),K102*INDEX(Lists!$B$2:$B$7,MATCH(L102,Lists!$A$2:$A$7,0)),"")</f>
        <v/>
      </c>
      <c r="N102" s="9"/>
      <c r="O102" s="9"/>
      <c r="P102" s="9"/>
      <c r="Q102" s="9"/>
      <c r="R102" s="9"/>
      <c r="S102" s="9"/>
    </row>
  </sheetData>
  <autoFilter ref="A1:S102"/>
  <dataValidations count="5">
    <dataValidation allowBlank="true" errorStyle="stop" operator="between" showDropDown="false" showErrorMessage="false" showInputMessage="false" sqref="H2:H102" type="list">
      <formula1>Lists!$F$2:$F$3</formula1>
      <formula2>0</formula2>
    </dataValidation>
    <dataValidation allowBlank="true" errorStyle="stop" operator="between" showDropDown="false" showErrorMessage="false" showInputMessage="false" sqref="I2:I102" type="list">
      <formula1>Lists!$D$2:$D$4</formula1>
      <formula2>0</formula2>
    </dataValidation>
    <dataValidation allowBlank="true" errorStyle="stop" operator="between" showDropDown="false" showErrorMessage="false" showInputMessage="false" sqref="L2:L102" type="list">
      <formula1>Lists!$A$2:$A$7</formula1>
      <formula2>0</formula2>
    </dataValidation>
    <dataValidation allowBlank="true" errorStyle="stop" operator="between" showDropDown="false" showErrorMessage="false" showInputMessage="false" sqref="N2:N102" type="list">
      <formula1>Lists!$E$2:$E$8</formula1>
      <formula2>0</formula2>
    </dataValidation>
    <dataValidation allowBlank="true" errorStyle="stop" operator="between" showDropDown="false" showErrorMessage="false" showInputMessage="false" sqref="Q2:Q102" type="list">
      <formula1>Lists!$G$2:$G$3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4" min="3" style="1" width="16"/>
    <col collapsed="false" customWidth="true" hidden="false" outlineLevel="0" max="8" min="5" style="1" width="12"/>
    <col collapsed="false" customWidth="true" hidden="false" outlineLevel="0" max="10" min="9" style="1" width="16"/>
    <col collapsed="false" customWidth="true" hidden="false" outlineLevel="0" max="11" min="11" style="1" width="34"/>
    <col collapsed="false" customWidth="true" hidden="false" outlineLevel="0" max="12" min="12" style="1" width="16"/>
    <col collapsed="false" customWidth="true" hidden="false" outlineLevel="0" max="13" min="13" style="1" width="12"/>
  </cols>
  <sheetData>
    <row r="1" customFormat="false" ht="54" hidden="false" customHeight="true" outlineLevel="0" collapsed="false">
      <c r="A1" s="5" t="s">
        <v>296</v>
      </c>
      <c r="B1" s="5" t="s">
        <v>297</v>
      </c>
      <c r="C1" s="5" t="s">
        <v>298</v>
      </c>
      <c r="D1" s="5" t="s">
        <v>299</v>
      </c>
      <c r="E1" s="5" t="s">
        <v>300</v>
      </c>
      <c r="F1" s="5" t="s">
        <v>301</v>
      </c>
      <c r="G1" s="5" t="s">
        <v>302</v>
      </c>
      <c r="H1" s="5" t="s">
        <v>303</v>
      </c>
      <c r="I1" s="5" t="s">
        <v>304</v>
      </c>
      <c r="J1" s="5" t="s">
        <v>305</v>
      </c>
      <c r="K1" s="5" t="s">
        <v>306</v>
      </c>
      <c r="L1" s="5" t="s">
        <v>307</v>
      </c>
      <c r="M1" s="5" t="s">
        <v>308</v>
      </c>
    </row>
    <row r="2" customFormat="false" ht="15" hidden="false" customHeight="true" outlineLevel="0" collapsed="false">
      <c r="A2" s="8" t="s">
        <v>258</v>
      </c>
      <c r="B2" s="9" t="s">
        <v>54</v>
      </c>
      <c r="C2" s="8" t="n">
        <v>62</v>
      </c>
      <c r="D2" s="8" t="n">
        <v>104</v>
      </c>
      <c r="E2" s="9"/>
      <c r="F2" s="9"/>
      <c r="G2" s="9"/>
      <c r="H2" s="9"/>
      <c r="I2" s="11" t="str">
        <f aca="false">IF(AND(ISNUMBER(E2),B2&lt;&gt;""),E2*INDEX(Lists!$B$2:$B$7,MATCH(B2,Lists!$A$2:$A$7,0)),"")</f>
        <v/>
      </c>
      <c r="J2" s="11" t="str">
        <f aca="false">IF(AND(ISNUMBER(F2),B2&lt;&gt;""),F2*INDEX(Lists!$B$2:$B$7,MATCH(B2,Lists!$A$2:$A$7,0)),"")</f>
        <v/>
      </c>
      <c r="K2" s="9"/>
      <c r="L2" s="9"/>
      <c r="M2" s="9"/>
    </row>
    <row r="3" customFormat="false" ht="15" hidden="false" customHeight="true" outlineLevel="0" collapsed="false">
      <c r="A3" s="8" t="s">
        <v>261</v>
      </c>
      <c r="B3" s="9" t="s">
        <v>54</v>
      </c>
      <c r="C3" s="8" t="n">
        <v>86</v>
      </c>
      <c r="D3" s="8" t="n">
        <v>128</v>
      </c>
      <c r="E3" s="9"/>
      <c r="F3" s="9"/>
      <c r="G3" s="9"/>
      <c r="H3" s="9"/>
      <c r="I3" s="11" t="str">
        <f aca="false">IF(AND(ISNUMBER(E3),B3&lt;&gt;""),E3*INDEX(Lists!$B$2:$B$7,MATCH(B3,Lists!$A$2:$A$7,0)),"")</f>
        <v/>
      </c>
      <c r="J3" s="11" t="str">
        <f aca="false">IF(AND(ISNUMBER(F3),B3&lt;&gt;""),F3*INDEX(Lists!$B$2:$B$7,MATCH(B3,Lists!$A$2:$A$7,0)),"")</f>
        <v/>
      </c>
      <c r="K3" s="9"/>
      <c r="L3" s="9"/>
      <c r="M3" s="9"/>
    </row>
    <row r="4" customFormat="false" ht="15" hidden="false" customHeight="true" outlineLevel="0" collapsed="false">
      <c r="A4" s="8" t="s">
        <v>264</v>
      </c>
      <c r="B4" s="9" t="s">
        <v>54</v>
      </c>
      <c r="C4" s="8" t="n">
        <v>20</v>
      </c>
      <c r="D4" s="8" t="n">
        <v>22.7</v>
      </c>
      <c r="E4" s="9"/>
      <c r="F4" s="9"/>
      <c r="G4" s="9"/>
      <c r="H4" s="9"/>
      <c r="I4" s="11" t="str">
        <f aca="false">IF(AND(ISNUMBER(E4),B4&lt;&gt;""),E4*INDEX(Lists!$B$2:$B$7,MATCH(B4,Lists!$A$2:$A$7,0)),"")</f>
        <v/>
      </c>
      <c r="J4" s="11" t="str">
        <f aca="false">IF(AND(ISNUMBER(F4),B4&lt;&gt;""),F4*INDEX(Lists!$B$2:$B$7,MATCH(B4,Lists!$A$2:$A$7,0)),"")</f>
        <v/>
      </c>
      <c r="K4" s="9"/>
      <c r="L4" s="9"/>
      <c r="M4" s="9"/>
    </row>
    <row r="5" customFormat="false" ht="15" hidden="false" customHeight="true" outlineLevel="0" collapsed="false">
      <c r="A5" s="8" t="s">
        <v>268</v>
      </c>
      <c r="B5" s="9" t="s">
        <v>54</v>
      </c>
      <c r="C5" s="8"/>
      <c r="D5" s="8"/>
      <c r="E5" s="9"/>
      <c r="F5" s="9"/>
      <c r="G5" s="9"/>
      <c r="H5" s="9"/>
      <c r="I5" s="11" t="str">
        <f aca="false">IF(AND(ISNUMBER(E5),B5&lt;&gt;""),E5*INDEX(Lists!$B$2:$B$7,MATCH(B5,Lists!$A$2:$A$7,0)),"")</f>
        <v/>
      </c>
      <c r="J5" s="11" t="str">
        <f aca="false">IF(AND(ISNUMBER(F5),B5&lt;&gt;""),F5*INDEX(Lists!$B$2:$B$7,MATCH(B5,Lists!$A$2:$A$7,0)),"")</f>
        <v/>
      </c>
      <c r="K5" s="9"/>
      <c r="L5" s="9"/>
      <c r="M5" s="9"/>
    </row>
    <row r="6" customFormat="false" ht="15" hidden="false" customHeight="true" outlineLevel="0" collapsed="false">
      <c r="A6" s="8" t="s">
        <v>309</v>
      </c>
      <c r="B6" s="9" t="s">
        <v>54</v>
      </c>
      <c r="C6" s="8" t="n">
        <v>80</v>
      </c>
      <c r="D6" s="8" t="n">
        <v>122</v>
      </c>
      <c r="E6" s="9"/>
      <c r="F6" s="9"/>
      <c r="G6" s="9"/>
      <c r="H6" s="9"/>
      <c r="I6" s="11" t="str">
        <f aca="false">IF(AND(ISNUMBER(E6),B6&lt;&gt;""),E6*INDEX(Lists!$B$2:$B$7,MATCH(B6,Lists!$A$2:$A$7,0)),"")</f>
        <v/>
      </c>
      <c r="J6" s="11" t="str">
        <f aca="false">IF(AND(ISNUMBER(F6),B6&lt;&gt;""),F6*INDEX(Lists!$B$2:$B$7,MATCH(B6,Lists!$A$2:$A$7,0)),"")</f>
        <v/>
      </c>
      <c r="K6" s="9"/>
      <c r="L6" s="9"/>
      <c r="M6" s="9"/>
    </row>
    <row r="8" customFormat="false" ht="15" hidden="false" customHeight="true" outlineLevel="0" collapsed="false">
      <c r="A8" s="12" t="s">
        <v>310</v>
      </c>
    </row>
    <row r="9" customFormat="false" ht="15" hidden="false" customHeight="true" outlineLevel="0" collapsed="false">
      <c r="A9" s="5" t="s">
        <v>311</v>
      </c>
      <c r="B9" s="5" t="s">
        <v>312</v>
      </c>
      <c r="C9" s="5" t="s">
        <v>313</v>
      </c>
      <c r="D9" s="5" t="s">
        <v>297</v>
      </c>
      <c r="E9" s="5" t="s">
        <v>307</v>
      </c>
      <c r="F9" s="5" t="s">
        <v>308</v>
      </c>
    </row>
    <row r="10" customFormat="false" ht="23.25" hidden="false" customHeight="true" outlineLevel="0" collapsed="false">
      <c r="A10" s="8" t="s">
        <v>314</v>
      </c>
      <c r="B10" s="8" t="s">
        <v>315</v>
      </c>
      <c r="C10" s="9"/>
      <c r="D10" s="9" t="s">
        <v>54</v>
      </c>
      <c r="E10" s="9"/>
      <c r="F10" s="9"/>
    </row>
    <row r="11" customFormat="false" ht="34.5" hidden="false" customHeight="true" outlineLevel="0" collapsed="false">
      <c r="A11" s="8" t="s">
        <v>316</v>
      </c>
      <c r="B11" s="8" t="s">
        <v>317</v>
      </c>
      <c r="C11" s="9"/>
      <c r="D11" s="9" t="s">
        <v>54</v>
      </c>
      <c r="E11" s="9"/>
      <c r="F11" s="9"/>
    </row>
    <row r="12" customFormat="false" ht="23.25" hidden="false" customHeight="true" outlineLevel="0" collapsed="false">
      <c r="A12" s="8" t="s">
        <v>318</v>
      </c>
      <c r="B12" s="8" t="s">
        <v>319</v>
      </c>
      <c r="C12" s="9"/>
      <c r="D12" s="9" t="s">
        <v>54</v>
      </c>
      <c r="E12" s="9"/>
      <c r="F12" s="9"/>
    </row>
    <row r="13" customFormat="false" ht="23.25" hidden="false" customHeight="true" outlineLevel="0" collapsed="false">
      <c r="A13" s="8" t="s">
        <v>167</v>
      </c>
      <c r="B13" s="8" t="s">
        <v>320</v>
      </c>
      <c r="C13" s="9"/>
      <c r="D13" s="9" t="s">
        <v>54</v>
      </c>
      <c r="E13" s="9"/>
      <c r="F13" s="9"/>
    </row>
    <row r="15" customFormat="false" ht="15" hidden="false" customHeight="true" outlineLevel="0" collapsed="false">
      <c r="A15" s="13" t="s">
        <v>321</v>
      </c>
    </row>
  </sheetData>
  <dataValidations count="2">
    <dataValidation allowBlank="true" errorStyle="stop" operator="between" showDropDown="false" showErrorMessage="false" showInputMessage="false" sqref="B2:B6" type="list">
      <formula1>Lists!$A$2:$A$7</formula1>
      <formula2>0</formula2>
    </dataValidation>
    <dataValidation allowBlank="true" errorStyle="stop" operator="between" showDropDown="false" showErrorMessage="false" showInputMessage="false" sqref="D10:D13" type="list">
      <formula1>Lists!$A$2:$A$7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4" min="2" style="1" width="12"/>
    <col collapsed="false" customWidth="true" hidden="false" outlineLevel="0" max="5" min="5" style="1" width="14"/>
    <col collapsed="false" customWidth="true" hidden="false" outlineLevel="0" max="6" min="6" style="1" width="8"/>
    <col collapsed="false" customWidth="true" hidden="false" outlineLevel="0" max="9" min="7" style="1" width="14"/>
    <col collapsed="false" customWidth="true" hidden="false" outlineLevel="0" max="12" min="10" style="1" width="16"/>
    <col collapsed="false" customWidth="true" hidden="false" outlineLevel="0" max="13" min="13" style="1" width="12"/>
  </cols>
  <sheetData>
    <row r="1" customFormat="false" ht="15" hidden="false" customHeight="true" outlineLevel="0" collapsed="false">
      <c r="A1" s="12" t="s">
        <v>322</v>
      </c>
    </row>
    <row r="2" customFormat="false" ht="15" hidden="false" customHeight="true" outlineLevel="0" collapsed="false">
      <c r="A2" s="13" t="s">
        <v>323</v>
      </c>
    </row>
    <row r="3" customFormat="false" ht="23.25" hidden="false" customHeight="true" outlineLevel="0" collapsed="false">
      <c r="A3" s="5" t="s">
        <v>324</v>
      </c>
      <c r="B3" s="5" t="s">
        <v>325</v>
      </c>
      <c r="C3" s="5" t="s">
        <v>258</v>
      </c>
      <c r="D3" s="5" t="s">
        <v>261</v>
      </c>
      <c r="E3" s="5" t="s">
        <v>264</v>
      </c>
      <c r="F3" s="5" t="s">
        <v>297</v>
      </c>
      <c r="G3" s="5" t="s">
        <v>326</v>
      </c>
      <c r="H3" s="5" t="s">
        <v>327</v>
      </c>
      <c r="I3" s="5" t="s">
        <v>328</v>
      </c>
      <c r="J3" s="5" t="s">
        <v>329</v>
      </c>
      <c r="K3" s="5" t="s">
        <v>330</v>
      </c>
      <c r="L3" s="5" t="s">
        <v>39</v>
      </c>
      <c r="M3" s="5" t="s">
        <v>40</v>
      </c>
    </row>
    <row r="4" customFormat="false" ht="15" hidden="false" customHeight="true" outlineLevel="0" collapsed="false">
      <c r="A4" s="8" t="n">
        <v>8</v>
      </c>
      <c r="B4" s="9"/>
      <c r="C4" s="9"/>
      <c r="D4" s="9"/>
      <c r="E4" s="9"/>
      <c r="F4" s="9" t="s">
        <v>54</v>
      </c>
      <c r="G4" s="11" t="str">
        <f aca="false">IF(AND(ISNUMBER(B4),F4&lt;&gt;""),B4*INDEX(Lists!$B$2:$B$7,MATCH(F4,Lists!$A$2:$A$7,0)),"")</f>
        <v/>
      </c>
      <c r="H4" s="11" t="str">
        <f aca="false">IF(AND(ISNUMBER(C4),F4&lt;&gt;""),C4*INDEX(Lists!$B$2:$B$7,MATCH(F4,Lists!$A$2:$A$7,0)),"")</f>
        <v/>
      </c>
      <c r="I4" s="11" t="str">
        <f aca="false">IF(AND(ISNUMBER(D4),F4&lt;&gt;""),D4*INDEX(Lists!$B$2:$B$7,MATCH(F4,Lists!$A$2:$A$7,0)),"")</f>
        <v/>
      </c>
      <c r="J4" s="11" t="str">
        <f aca="false">IF(AND(ISNUMBER(E4),F4&lt;&gt;""),E4*INDEX(Lists!$B$2:$B$7,MATCH(F4,Lists!$A$2:$A$7,0)),"")</f>
        <v/>
      </c>
      <c r="K4" s="9"/>
      <c r="L4" s="9"/>
      <c r="M4" s="9"/>
    </row>
    <row r="5" customFormat="false" ht="15" hidden="false" customHeight="true" outlineLevel="0" collapsed="false">
      <c r="A5" s="8" t="n">
        <v>10</v>
      </c>
      <c r="B5" s="9"/>
      <c r="C5" s="9"/>
      <c r="D5" s="9"/>
      <c r="E5" s="9"/>
      <c r="F5" s="9" t="s">
        <v>54</v>
      </c>
      <c r="G5" s="11" t="str">
        <f aca="false">IF(AND(ISNUMBER(B5),F5&lt;&gt;""),B5*INDEX(Lists!$B$2:$B$7,MATCH(F5,Lists!$A$2:$A$7,0)),"")</f>
        <v/>
      </c>
      <c r="H5" s="11" t="str">
        <f aca="false">IF(AND(ISNUMBER(C5),F5&lt;&gt;""),C5*INDEX(Lists!$B$2:$B$7,MATCH(F5,Lists!$A$2:$A$7,0)),"")</f>
        <v/>
      </c>
      <c r="I5" s="11" t="str">
        <f aca="false">IF(AND(ISNUMBER(D5),F5&lt;&gt;""),D5*INDEX(Lists!$B$2:$B$7,MATCH(F5,Lists!$A$2:$A$7,0)),"")</f>
        <v/>
      </c>
      <c r="J5" s="11" t="str">
        <f aca="false">IF(AND(ISNUMBER(E5),F5&lt;&gt;""),E5*INDEX(Lists!$B$2:$B$7,MATCH(F5,Lists!$A$2:$A$7,0)),"")</f>
        <v/>
      </c>
      <c r="K5" s="9"/>
      <c r="L5" s="9"/>
      <c r="M5" s="9"/>
    </row>
    <row r="6" customFormat="false" ht="15" hidden="false" customHeight="true" outlineLevel="0" collapsed="false">
      <c r="A6" s="8" t="n">
        <v>12</v>
      </c>
      <c r="B6" s="9"/>
      <c r="C6" s="9"/>
      <c r="D6" s="9"/>
      <c r="E6" s="9"/>
      <c r="F6" s="9" t="s">
        <v>54</v>
      </c>
      <c r="G6" s="11" t="str">
        <f aca="false">IF(AND(ISNUMBER(B6),F6&lt;&gt;""),B6*INDEX(Lists!$B$2:$B$7,MATCH(F6,Lists!$A$2:$A$7,0)),"")</f>
        <v/>
      </c>
      <c r="H6" s="11" t="str">
        <f aca="false">IF(AND(ISNUMBER(C6),F6&lt;&gt;""),C6*INDEX(Lists!$B$2:$B$7,MATCH(F6,Lists!$A$2:$A$7,0)),"")</f>
        <v/>
      </c>
      <c r="I6" s="11" t="str">
        <f aca="false">IF(AND(ISNUMBER(D6),F6&lt;&gt;""),D6*INDEX(Lists!$B$2:$B$7,MATCH(F6,Lists!$A$2:$A$7,0)),"")</f>
        <v/>
      </c>
      <c r="J6" s="11" t="str">
        <f aca="false">IF(AND(ISNUMBER(E6),F6&lt;&gt;""),E6*INDEX(Lists!$B$2:$B$7,MATCH(F6,Lists!$A$2:$A$7,0)),"")</f>
        <v/>
      </c>
      <c r="K6" s="9"/>
      <c r="L6" s="9"/>
      <c r="M6" s="9"/>
    </row>
    <row r="7" customFormat="false" ht="15" hidden="false" customHeight="true" outlineLevel="0" collapsed="false">
      <c r="A7" s="8" t="n">
        <v>14</v>
      </c>
      <c r="B7" s="9"/>
      <c r="C7" s="9"/>
      <c r="D7" s="9"/>
      <c r="E7" s="9"/>
      <c r="F7" s="9" t="s">
        <v>54</v>
      </c>
      <c r="G7" s="11" t="str">
        <f aca="false">IF(AND(ISNUMBER(B7),F7&lt;&gt;""),B7*INDEX(Lists!$B$2:$B$7,MATCH(F7,Lists!$A$2:$A$7,0)),"")</f>
        <v/>
      </c>
      <c r="H7" s="11" t="str">
        <f aca="false">IF(AND(ISNUMBER(C7),F7&lt;&gt;""),C7*INDEX(Lists!$B$2:$B$7,MATCH(F7,Lists!$A$2:$A$7,0)),"")</f>
        <v/>
      </c>
      <c r="I7" s="11" t="str">
        <f aca="false">IF(AND(ISNUMBER(D7),F7&lt;&gt;""),D7*INDEX(Lists!$B$2:$B$7,MATCH(F7,Lists!$A$2:$A$7,0)),"")</f>
        <v/>
      </c>
      <c r="J7" s="11" t="str">
        <f aca="false">IF(AND(ISNUMBER(E7),F7&lt;&gt;""),E7*INDEX(Lists!$B$2:$B$7,MATCH(F7,Lists!$A$2:$A$7,0)),"")</f>
        <v/>
      </c>
      <c r="K7" s="9"/>
      <c r="L7" s="9"/>
      <c r="M7" s="9"/>
    </row>
    <row r="8" customFormat="false" ht="15" hidden="false" customHeight="true" outlineLevel="0" collapsed="false">
      <c r="A8" s="8" t="n">
        <v>16</v>
      </c>
      <c r="B8" s="9"/>
      <c r="C8" s="9"/>
      <c r="D8" s="9"/>
      <c r="E8" s="9"/>
      <c r="F8" s="9" t="s">
        <v>54</v>
      </c>
      <c r="G8" s="11" t="str">
        <f aca="false">IF(AND(ISNUMBER(B8),F8&lt;&gt;""),B8*INDEX(Lists!$B$2:$B$7,MATCH(F8,Lists!$A$2:$A$7,0)),"")</f>
        <v/>
      </c>
      <c r="H8" s="11" t="str">
        <f aca="false">IF(AND(ISNUMBER(C8),F8&lt;&gt;""),C8*INDEX(Lists!$B$2:$B$7,MATCH(F8,Lists!$A$2:$A$7,0)),"")</f>
        <v/>
      </c>
      <c r="I8" s="11" t="str">
        <f aca="false">IF(AND(ISNUMBER(D8),F8&lt;&gt;""),D8*INDEX(Lists!$B$2:$B$7,MATCH(F8,Lists!$A$2:$A$7,0)),"")</f>
        <v/>
      </c>
      <c r="J8" s="11" t="str">
        <f aca="false">IF(AND(ISNUMBER(E8),F8&lt;&gt;""),E8*INDEX(Lists!$B$2:$B$7,MATCH(F8,Lists!$A$2:$A$7,0)),"")</f>
        <v/>
      </c>
      <c r="K8" s="9"/>
      <c r="L8" s="9"/>
      <c r="M8" s="9"/>
    </row>
    <row r="9" customFormat="false" ht="15" hidden="false" customHeight="true" outlineLevel="0" collapsed="false">
      <c r="A9" s="8" t="n">
        <v>18</v>
      </c>
      <c r="B9" s="9"/>
      <c r="C9" s="9"/>
      <c r="D9" s="9"/>
      <c r="E9" s="9"/>
      <c r="F9" s="9" t="s">
        <v>54</v>
      </c>
      <c r="G9" s="11" t="str">
        <f aca="false">IF(AND(ISNUMBER(B9),F9&lt;&gt;""),B9*INDEX(Lists!$B$2:$B$7,MATCH(F9,Lists!$A$2:$A$7,0)),"")</f>
        <v/>
      </c>
      <c r="H9" s="11" t="str">
        <f aca="false">IF(AND(ISNUMBER(C9),F9&lt;&gt;""),C9*INDEX(Lists!$B$2:$B$7,MATCH(F9,Lists!$A$2:$A$7,0)),"")</f>
        <v/>
      </c>
      <c r="I9" s="11" t="str">
        <f aca="false">IF(AND(ISNUMBER(D9),F9&lt;&gt;""),D9*INDEX(Lists!$B$2:$B$7,MATCH(F9,Lists!$A$2:$A$7,0)),"")</f>
        <v/>
      </c>
      <c r="J9" s="11" t="str">
        <f aca="false">IF(AND(ISNUMBER(E9),F9&lt;&gt;""),E9*INDEX(Lists!$B$2:$B$7,MATCH(F9,Lists!$A$2:$A$7,0)),"")</f>
        <v/>
      </c>
      <c r="K9" s="9"/>
      <c r="L9" s="9"/>
      <c r="M9" s="9"/>
    </row>
    <row r="10" customFormat="false" ht="15" hidden="false" customHeight="true" outlineLevel="0" collapsed="false">
      <c r="A10" s="8" t="n">
        <v>20</v>
      </c>
      <c r="B10" s="9"/>
      <c r="C10" s="9"/>
      <c r="D10" s="9"/>
      <c r="E10" s="9"/>
      <c r="F10" s="9" t="s">
        <v>54</v>
      </c>
      <c r="G10" s="11" t="str">
        <f aca="false">IF(AND(ISNUMBER(B10),F10&lt;&gt;""),B10*INDEX(Lists!$B$2:$B$7,MATCH(F10,Lists!$A$2:$A$7,0)),"")</f>
        <v/>
      </c>
      <c r="H10" s="11" t="str">
        <f aca="false">IF(AND(ISNUMBER(C10),F10&lt;&gt;""),C10*INDEX(Lists!$B$2:$B$7,MATCH(F10,Lists!$A$2:$A$7,0)),"")</f>
        <v/>
      </c>
      <c r="I10" s="11" t="str">
        <f aca="false">IF(AND(ISNUMBER(D10),F10&lt;&gt;""),D10*INDEX(Lists!$B$2:$B$7,MATCH(F10,Lists!$A$2:$A$7,0)),"")</f>
        <v/>
      </c>
      <c r="J10" s="11" t="str">
        <f aca="false">IF(AND(ISNUMBER(E10),F10&lt;&gt;""),E10*INDEX(Lists!$B$2:$B$7,MATCH(F10,Lists!$A$2:$A$7,0)),"")</f>
        <v/>
      </c>
      <c r="K10" s="9"/>
      <c r="L10" s="9"/>
      <c r="M10" s="9"/>
    </row>
    <row r="11" customFormat="false" ht="15" hidden="false" customHeight="true" outlineLevel="0" collapsed="false">
      <c r="A11" s="8" t="n">
        <v>22</v>
      </c>
      <c r="B11" s="9"/>
      <c r="C11" s="9"/>
      <c r="D11" s="9"/>
      <c r="E11" s="9"/>
      <c r="F11" s="9" t="s">
        <v>54</v>
      </c>
      <c r="G11" s="11" t="str">
        <f aca="false">IF(AND(ISNUMBER(B11),F11&lt;&gt;""),B11*INDEX(Lists!$B$2:$B$7,MATCH(F11,Lists!$A$2:$A$7,0)),"")</f>
        <v/>
      </c>
      <c r="H11" s="11" t="str">
        <f aca="false">IF(AND(ISNUMBER(C11),F11&lt;&gt;""),C11*INDEX(Lists!$B$2:$B$7,MATCH(F11,Lists!$A$2:$A$7,0)),"")</f>
        <v/>
      </c>
      <c r="I11" s="11" t="str">
        <f aca="false">IF(AND(ISNUMBER(D11),F11&lt;&gt;""),D11*INDEX(Lists!$B$2:$B$7,MATCH(F11,Lists!$A$2:$A$7,0)),"")</f>
        <v/>
      </c>
      <c r="J11" s="11" t="str">
        <f aca="false">IF(AND(ISNUMBER(E11),F11&lt;&gt;""),E11*INDEX(Lists!$B$2:$B$7,MATCH(F11,Lists!$A$2:$A$7,0)),"")</f>
        <v/>
      </c>
      <c r="K11" s="9"/>
      <c r="L11" s="9"/>
      <c r="M11" s="9"/>
    </row>
    <row r="12" customFormat="false" ht="15" hidden="false" customHeight="true" outlineLevel="0" collapsed="false">
      <c r="A12" s="8" t="n">
        <v>24</v>
      </c>
      <c r="B12" s="9"/>
      <c r="C12" s="9"/>
      <c r="D12" s="9"/>
      <c r="E12" s="9"/>
      <c r="F12" s="9" t="s">
        <v>54</v>
      </c>
      <c r="G12" s="11" t="str">
        <f aca="false">IF(AND(ISNUMBER(B12),F12&lt;&gt;""),B12*INDEX(Lists!$B$2:$B$7,MATCH(F12,Lists!$A$2:$A$7,0)),"")</f>
        <v/>
      </c>
      <c r="H12" s="11" t="str">
        <f aca="false">IF(AND(ISNUMBER(C12),F12&lt;&gt;""),C12*INDEX(Lists!$B$2:$B$7,MATCH(F12,Lists!$A$2:$A$7,0)),"")</f>
        <v/>
      </c>
      <c r="I12" s="11" t="str">
        <f aca="false">IF(AND(ISNUMBER(D12),F12&lt;&gt;""),D12*INDEX(Lists!$B$2:$B$7,MATCH(F12,Lists!$A$2:$A$7,0)),"")</f>
        <v/>
      </c>
      <c r="J12" s="11" t="str">
        <f aca="false">IF(AND(ISNUMBER(E12),F12&lt;&gt;""),E12*INDEX(Lists!$B$2:$B$7,MATCH(F12,Lists!$A$2:$A$7,0)),"")</f>
        <v/>
      </c>
      <c r="K12" s="9"/>
      <c r="L12" s="9"/>
      <c r="M12" s="9"/>
    </row>
    <row r="13" customFormat="false" ht="15" hidden="false" customHeight="true" outlineLevel="0" collapsed="false">
      <c r="A13" s="8" t="n">
        <v>26</v>
      </c>
      <c r="B13" s="9"/>
      <c r="C13" s="9"/>
      <c r="D13" s="9"/>
      <c r="E13" s="9"/>
      <c r="F13" s="9" t="s">
        <v>54</v>
      </c>
      <c r="G13" s="11" t="str">
        <f aca="false">IF(AND(ISNUMBER(B13),F13&lt;&gt;""),B13*INDEX(Lists!$B$2:$B$7,MATCH(F13,Lists!$A$2:$A$7,0)),"")</f>
        <v/>
      </c>
      <c r="H13" s="11" t="str">
        <f aca="false">IF(AND(ISNUMBER(C13),F13&lt;&gt;""),C13*INDEX(Lists!$B$2:$B$7,MATCH(F13,Lists!$A$2:$A$7,0)),"")</f>
        <v/>
      </c>
      <c r="I13" s="11" t="str">
        <f aca="false">IF(AND(ISNUMBER(D13),F13&lt;&gt;""),D13*INDEX(Lists!$B$2:$B$7,MATCH(F13,Lists!$A$2:$A$7,0)),"")</f>
        <v/>
      </c>
      <c r="J13" s="11" t="str">
        <f aca="false">IF(AND(ISNUMBER(E13),F13&lt;&gt;""),E13*INDEX(Lists!$B$2:$B$7,MATCH(F13,Lists!$A$2:$A$7,0)),"")</f>
        <v/>
      </c>
      <c r="K13" s="9"/>
      <c r="L13" s="9"/>
      <c r="M13" s="9"/>
    </row>
    <row r="15" customFormat="false" ht="15" hidden="false" customHeight="true" outlineLevel="0" collapsed="false">
      <c r="A15" s="12" t="s">
        <v>331</v>
      </c>
    </row>
    <row r="16" customFormat="false" ht="15" hidden="false" customHeight="true" outlineLevel="0" collapsed="false">
      <c r="A16" s="13" t="s">
        <v>332</v>
      </c>
    </row>
    <row r="17" customFormat="false" ht="23.25" hidden="false" customHeight="true" outlineLevel="0" collapsed="false">
      <c r="A17" s="5" t="s">
        <v>324</v>
      </c>
      <c r="B17" s="5" t="s">
        <v>325</v>
      </c>
      <c r="C17" s="5" t="s">
        <v>258</v>
      </c>
      <c r="D17" s="5" t="s">
        <v>261</v>
      </c>
      <c r="E17" s="5" t="s">
        <v>264</v>
      </c>
      <c r="F17" s="5" t="s">
        <v>297</v>
      </c>
      <c r="G17" s="5" t="s">
        <v>326</v>
      </c>
      <c r="H17" s="5" t="s">
        <v>327</v>
      </c>
      <c r="I17" s="5" t="s">
        <v>328</v>
      </c>
      <c r="J17" s="5" t="s">
        <v>329</v>
      </c>
      <c r="K17" s="5" t="s">
        <v>330</v>
      </c>
      <c r="L17" s="5" t="s">
        <v>39</v>
      </c>
      <c r="M17" s="5" t="s">
        <v>40</v>
      </c>
    </row>
    <row r="18" customFormat="false" ht="15" hidden="false" customHeight="true" outlineLevel="0" collapsed="false">
      <c r="A18" s="8" t="n">
        <v>10</v>
      </c>
      <c r="B18" s="9"/>
      <c r="C18" s="9"/>
      <c r="D18" s="9"/>
      <c r="E18" s="9"/>
      <c r="F18" s="9" t="s">
        <v>54</v>
      </c>
      <c r="G18" s="11" t="str">
        <f aca="false">IF(AND(ISNUMBER(B18),F18&lt;&gt;""),B18*INDEX(Lists!$B$2:$B$7,MATCH(F18,Lists!$A$2:$A$7,0)),"")</f>
        <v/>
      </c>
      <c r="H18" s="11" t="str">
        <f aca="false">IF(AND(ISNUMBER(C18),F18&lt;&gt;""),C18*INDEX(Lists!$B$2:$B$7,MATCH(F18,Lists!$A$2:$A$7,0)),"")</f>
        <v/>
      </c>
      <c r="I18" s="11" t="str">
        <f aca="false">IF(AND(ISNUMBER(D18),F18&lt;&gt;""),D18*INDEX(Lists!$B$2:$B$7,MATCH(F18,Lists!$A$2:$A$7,0)),"")</f>
        <v/>
      </c>
      <c r="J18" s="11" t="str">
        <f aca="false">IF(AND(ISNUMBER(E18),F18&lt;&gt;""),E18*INDEX(Lists!$B$2:$B$7,MATCH(F18,Lists!$A$2:$A$7,0)),"")</f>
        <v/>
      </c>
      <c r="K18" s="9"/>
      <c r="L18" s="9"/>
      <c r="M18" s="9"/>
    </row>
    <row r="19" customFormat="false" ht="15" hidden="false" customHeight="true" outlineLevel="0" collapsed="false">
      <c r="A19" s="8" t="n">
        <v>12</v>
      </c>
      <c r="B19" s="9"/>
      <c r="C19" s="9"/>
      <c r="D19" s="9"/>
      <c r="E19" s="9"/>
      <c r="F19" s="9" t="s">
        <v>54</v>
      </c>
      <c r="G19" s="11" t="str">
        <f aca="false">IF(AND(ISNUMBER(B19),F19&lt;&gt;""),B19*INDEX(Lists!$B$2:$B$7,MATCH(F19,Lists!$A$2:$A$7,0)),"")</f>
        <v/>
      </c>
      <c r="H19" s="11" t="str">
        <f aca="false">IF(AND(ISNUMBER(C19),F19&lt;&gt;""),C19*INDEX(Lists!$B$2:$B$7,MATCH(F19,Lists!$A$2:$A$7,0)),"")</f>
        <v/>
      </c>
      <c r="I19" s="11" t="str">
        <f aca="false">IF(AND(ISNUMBER(D19),F19&lt;&gt;""),D19*INDEX(Lists!$B$2:$B$7,MATCH(F19,Lists!$A$2:$A$7,0)),"")</f>
        <v/>
      </c>
      <c r="J19" s="11" t="str">
        <f aca="false">IF(AND(ISNUMBER(E19),F19&lt;&gt;""),E19*INDEX(Lists!$B$2:$B$7,MATCH(F19,Lists!$A$2:$A$7,0)),"")</f>
        <v/>
      </c>
      <c r="K19" s="9"/>
      <c r="L19" s="9"/>
      <c r="M19" s="9"/>
    </row>
    <row r="20" customFormat="false" ht="15" hidden="false" customHeight="true" outlineLevel="0" collapsed="false">
      <c r="A20" s="8" t="n">
        <v>14</v>
      </c>
      <c r="B20" s="9"/>
      <c r="C20" s="9"/>
      <c r="D20" s="9"/>
      <c r="E20" s="9"/>
      <c r="F20" s="9" t="s">
        <v>54</v>
      </c>
      <c r="G20" s="11" t="str">
        <f aca="false">IF(AND(ISNUMBER(B20),F20&lt;&gt;""),B20*INDEX(Lists!$B$2:$B$7,MATCH(F20,Lists!$A$2:$A$7,0)),"")</f>
        <v/>
      </c>
      <c r="H20" s="11" t="str">
        <f aca="false">IF(AND(ISNUMBER(C20),F20&lt;&gt;""),C20*INDEX(Lists!$B$2:$B$7,MATCH(F20,Lists!$A$2:$A$7,0)),"")</f>
        <v/>
      </c>
      <c r="I20" s="11" t="str">
        <f aca="false">IF(AND(ISNUMBER(D20),F20&lt;&gt;""),D20*INDEX(Lists!$B$2:$B$7,MATCH(F20,Lists!$A$2:$A$7,0)),"")</f>
        <v/>
      </c>
      <c r="J20" s="11" t="str">
        <f aca="false">IF(AND(ISNUMBER(E20),F20&lt;&gt;""),E20*INDEX(Lists!$B$2:$B$7,MATCH(F20,Lists!$A$2:$A$7,0)),"")</f>
        <v/>
      </c>
      <c r="K20" s="9"/>
      <c r="L20" s="9"/>
      <c r="M20" s="9"/>
    </row>
    <row r="21" customFormat="false" ht="15" hidden="false" customHeight="true" outlineLevel="0" collapsed="false">
      <c r="A21" s="8" t="n">
        <v>16</v>
      </c>
      <c r="B21" s="9"/>
      <c r="C21" s="9"/>
      <c r="D21" s="9"/>
      <c r="E21" s="9"/>
      <c r="F21" s="9" t="s">
        <v>54</v>
      </c>
      <c r="G21" s="11" t="str">
        <f aca="false">IF(AND(ISNUMBER(B21),F21&lt;&gt;""),B21*INDEX(Lists!$B$2:$B$7,MATCH(F21,Lists!$A$2:$A$7,0)),"")</f>
        <v/>
      </c>
      <c r="H21" s="11" t="str">
        <f aca="false">IF(AND(ISNUMBER(C21),F21&lt;&gt;""),C21*INDEX(Lists!$B$2:$B$7,MATCH(F21,Lists!$A$2:$A$7,0)),"")</f>
        <v/>
      </c>
      <c r="I21" s="11" t="str">
        <f aca="false">IF(AND(ISNUMBER(D21),F21&lt;&gt;""),D21*INDEX(Lists!$B$2:$B$7,MATCH(F21,Lists!$A$2:$A$7,0)),"")</f>
        <v/>
      </c>
      <c r="J21" s="11" t="str">
        <f aca="false">IF(AND(ISNUMBER(E21),F21&lt;&gt;""),E21*INDEX(Lists!$B$2:$B$7,MATCH(F21,Lists!$A$2:$A$7,0)),"")</f>
        <v/>
      </c>
      <c r="K21" s="9"/>
      <c r="L21" s="9"/>
      <c r="M21" s="9"/>
    </row>
    <row r="22" customFormat="false" ht="15" hidden="false" customHeight="true" outlineLevel="0" collapsed="false">
      <c r="A22" s="8" t="n">
        <v>18</v>
      </c>
      <c r="B22" s="9"/>
      <c r="C22" s="9"/>
      <c r="D22" s="9"/>
      <c r="E22" s="9"/>
      <c r="F22" s="9" t="s">
        <v>54</v>
      </c>
      <c r="G22" s="11" t="str">
        <f aca="false">IF(AND(ISNUMBER(B22),F22&lt;&gt;""),B22*INDEX(Lists!$B$2:$B$7,MATCH(F22,Lists!$A$2:$A$7,0)),"")</f>
        <v/>
      </c>
      <c r="H22" s="11" t="str">
        <f aca="false">IF(AND(ISNUMBER(C22),F22&lt;&gt;""),C22*INDEX(Lists!$B$2:$B$7,MATCH(F22,Lists!$A$2:$A$7,0)),"")</f>
        <v/>
      </c>
      <c r="I22" s="11" t="str">
        <f aca="false">IF(AND(ISNUMBER(D22),F22&lt;&gt;""),D22*INDEX(Lists!$B$2:$B$7,MATCH(F22,Lists!$A$2:$A$7,0)),"")</f>
        <v/>
      </c>
      <c r="J22" s="11" t="str">
        <f aca="false">IF(AND(ISNUMBER(E22),F22&lt;&gt;""),E22*INDEX(Lists!$B$2:$B$7,MATCH(F22,Lists!$A$2:$A$7,0)),"")</f>
        <v/>
      </c>
      <c r="K22" s="9"/>
      <c r="L22" s="9"/>
      <c r="M22" s="9"/>
    </row>
    <row r="23" customFormat="false" ht="15" hidden="false" customHeight="true" outlineLevel="0" collapsed="false">
      <c r="A23" s="8" t="n">
        <v>20</v>
      </c>
      <c r="B23" s="9"/>
      <c r="C23" s="9"/>
      <c r="D23" s="9"/>
      <c r="E23" s="9"/>
      <c r="F23" s="9" t="s">
        <v>54</v>
      </c>
      <c r="G23" s="11" t="str">
        <f aca="false">IF(AND(ISNUMBER(B23),F23&lt;&gt;""),B23*INDEX(Lists!$B$2:$B$7,MATCH(F23,Lists!$A$2:$A$7,0)),"")</f>
        <v/>
      </c>
      <c r="H23" s="11" t="str">
        <f aca="false">IF(AND(ISNUMBER(C23),F23&lt;&gt;""),C23*INDEX(Lists!$B$2:$B$7,MATCH(F23,Lists!$A$2:$A$7,0)),"")</f>
        <v/>
      </c>
      <c r="I23" s="11" t="str">
        <f aca="false">IF(AND(ISNUMBER(D23),F23&lt;&gt;""),D23*INDEX(Lists!$B$2:$B$7,MATCH(F23,Lists!$A$2:$A$7,0)),"")</f>
        <v/>
      </c>
      <c r="J23" s="11" t="str">
        <f aca="false">IF(AND(ISNUMBER(E23),F23&lt;&gt;""),E23*INDEX(Lists!$B$2:$B$7,MATCH(F23,Lists!$A$2:$A$7,0)),"")</f>
        <v/>
      </c>
      <c r="K23" s="9"/>
      <c r="L23" s="9"/>
      <c r="M23" s="9"/>
    </row>
    <row r="24" customFormat="false" ht="15" hidden="false" customHeight="true" outlineLevel="0" collapsed="false">
      <c r="A24" s="8" t="n">
        <v>22</v>
      </c>
      <c r="B24" s="9"/>
      <c r="C24" s="9"/>
      <c r="D24" s="9"/>
      <c r="E24" s="9"/>
      <c r="F24" s="9" t="s">
        <v>54</v>
      </c>
      <c r="G24" s="11" t="str">
        <f aca="false">IF(AND(ISNUMBER(B24),F24&lt;&gt;""),B24*INDEX(Lists!$B$2:$B$7,MATCH(F24,Lists!$A$2:$A$7,0)),"")</f>
        <v/>
      </c>
      <c r="H24" s="11" t="str">
        <f aca="false">IF(AND(ISNUMBER(C24),F24&lt;&gt;""),C24*INDEX(Lists!$B$2:$B$7,MATCH(F24,Lists!$A$2:$A$7,0)),"")</f>
        <v/>
      </c>
      <c r="I24" s="11" t="str">
        <f aca="false">IF(AND(ISNUMBER(D24),F24&lt;&gt;""),D24*INDEX(Lists!$B$2:$B$7,MATCH(F24,Lists!$A$2:$A$7,0)),"")</f>
        <v/>
      </c>
      <c r="J24" s="11" t="str">
        <f aca="false">IF(AND(ISNUMBER(E24),F24&lt;&gt;""),E24*INDEX(Lists!$B$2:$B$7,MATCH(F24,Lists!$A$2:$A$7,0)),"")</f>
        <v/>
      </c>
      <c r="K24" s="9"/>
      <c r="L24" s="9"/>
      <c r="M24" s="9"/>
    </row>
    <row r="25" customFormat="false" ht="15" hidden="false" customHeight="true" outlineLevel="0" collapsed="false">
      <c r="A25" s="8" t="n">
        <v>24</v>
      </c>
      <c r="B25" s="9"/>
      <c r="C25" s="9"/>
      <c r="D25" s="9"/>
      <c r="E25" s="9"/>
      <c r="F25" s="9" t="s">
        <v>54</v>
      </c>
      <c r="G25" s="11" t="str">
        <f aca="false">IF(AND(ISNUMBER(B25),F25&lt;&gt;""),B25*INDEX(Lists!$B$2:$B$7,MATCH(F25,Lists!$A$2:$A$7,0)),"")</f>
        <v/>
      </c>
      <c r="H25" s="11" t="str">
        <f aca="false">IF(AND(ISNUMBER(C25),F25&lt;&gt;""),C25*INDEX(Lists!$B$2:$B$7,MATCH(F25,Lists!$A$2:$A$7,0)),"")</f>
        <v/>
      </c>
      <c r="I25" s="11" t="str">
        <f aca="false">IF(AND(ISNUMBER(D25),F25&lt;&gt;""),D25*INDEX(Lists!$B$2:$B$7,MATCH(F25,Lists!$A$2:$A$7,0)),"")</f>
        <v/>
      </c>
      <c r="J25" s="11" t="str">
        <f aca="false">IF(AND(ISNUMBER(E25),F25&lt;&gt;""),E25*INDEX(Lists!$B$2:$B$7,MATCH(F25,Lists!$A$2:$A$7,0)),"")</f>
        <v/>
      </c>
      <c r="K25" s="9"/>
      <c r="L25" s="9"/>
      <c r="M25" s="9"/>
    </row>
    <row r="27" customFormat="false" ht="15" hidden="false" customHeight="true" outlineLevel="0" collapsed="false">
      <c r="A27" s="12" t="s">
        <v>333</v>
      </c>
    </row>
    <row r="28" customFormat="false" ht="15" hidden="false" customHeight="true" outlineLevel="0" collapsed="false">
      <c r="A28" s="13" t="s">
        <v>334</v>
      </c>
    </row>
    <row r="29" customFormat="false" ht="23.25" hidden="false" customHeight="true" outlineLevel="0" collapsed="false">
      <c r="A29" s="5" t="s">
        <v>324</v>
      </c>
      <c r="B29" s="5" t="s">
        <v>325</v>
      </c>
      <c r="C29" s="5" t="s">
        <v>258</v>
      </c>
      <c r="D29" s="5" t="s">
        <v>261</v>
      </c>
      <c r="E29" s="5" t="s">
        <v>264</v>
      </c>
      <c r="F29" s="5" t="s">
        <v>297</v>
      </c>
      <c r="G29" s="5" t="s">
        <v>326</v>
      </c>
      <c r="H29" s="5" t="s">
        <v>327</v>
      </c>
      <c r="I29" s="5" t="s">
        <v>328</v>
      </c>
      <c r="J29" s="5" t="s">
        <v>329</v>
      </c>
      <c r="K29" s="5" t="s">
        <v>330</v>
      </c>
      <c r="L29" s="5" t="s">
        <v>39</v>
      </c>
      <c r="M29" s="5" t="s">
        <v>40</v>
      </c>
    </row>
    <row r="30" customFormat="false" ht="15" hidden="false" customHeight="true" outlineLevel="0" collapsed="false">
      <c r="A30" s="8" t="s">
        <v>335</v>
      </c>
      <c r="B30" s="9"/>
      <c r="C30" s="9"/>
      <c r="D30" s="9"/>
      <c r="E30" s="9"/>
      <c r="F30" s="9" t="s">
        <v>54</v>
      </c>
      <c r="G30" s="11" t="str">
        <f aca="false">IF(AND(ISNUMBER(B30),F30&lt;&gt;""),B30*INDEX(Lists!$B$2:$B$7,MATCH(F30,Lists!$A$2:$A$7,0)),"")</f>
        <v/>
      </c>
      <c r="H30" s="11" t="str">
        <f aca="false">IF(AND(ISNUMBER(C30),F30&lt;&gt;""),C30*INDEX(Lists!$B$2:$B$7,MATCH(F30,Lists!$A$2:$A$7,0)),"")</f>
        <v/>
      </c>
      <c r="I30" s="11" t="str">
        <f aca="false">IF(AND(ISNUMBER(D30),F30&lt;&gt;""),D30*INDEX(Lists!$B$2:$B$7,MATCH(F30,Lists!$A$2:$A$7,0)),"")</f>
        <v/>
      </c>
      <c r="J30" s="11" t="str">
        <f aca="false">IF(AND(ISNUMBER(E30),F30&lt;&gt;""),E30*INDEX(Lists!$B$2:$B$7,MATCH(F30,Lists!$A$2:$A$7,0)),"")</f>
        <v/>
      </c>
      <c r="K30" s="9"/>
      <c r="L30" s="9"/>
      <c r="M30" s="9"/>
    </row>
    <row r="31" customFormat="false" ht="15" hidden="false" customHeight="true" outlineLevel="0" collapsed="false">
      <c r="A31" s="8" t="s">
        <v>336</v>
      </c>
      <c r="B31" s="9"/>
      <c r="C31" s="9"/>
      <c r="D31" s="9"/>
      <c r="E31" s="9"/>
      <c r="F31" s="9" t="s">
        <v>54</v>
      </c>
      <c r="G31" s="11" t="str">
        <f aca="false">IF(AND(ISNUMBER(B31),F31&lt;&gt;""),B31*INDEX(Lists!$B$2:$B$7,MATCH(F31,Lists!$A$2:$A$7,0)),"")</f>
        <v/>
      </c>
      <c r="H31" s="11" t="str">
        <f aca="false">IF(AND(ISNUMBER(C31),F31&lt;&gt;""),C31*INDEX(Lists!$B$2:$B$7,MATCH(F31,Lists!$A$2:$A$7,0)),"")</f>
        <v/>
      </c>
      <c r="I31" s="11" t="str">
        <f aca="false">IF(AND(ISNUMBER(D31),F31&lt;&gt;""),D31*INDEX(Lists!$B$2:$B$7,MATCH(F31,Lists!$A$2:$A$7,0)),"")</f>
        <v/>
      </c>
      <c r="J31" s="11" t="str">
        <f aca="false">IF(AND(ISNUMBER(E31),F31&lt;&gt;""),E31*INDEX(Lists!$B$2:$B$7,MATCH(F31,Lists!$A$2:$A$7,0)),"")</f>
        <v/>
      </c>
      <c r="K31" s="9"/>
      <c r="L31" s="9"/>
      <c r="M31" s="9"/>
    </row>
    <row r="32" customFormat="false" ht="15" hidden="false" customHeight="true" outlineLevel="0" collapsed="false">
      <c r="A32" s="8" t="s">
        <v>337</v>
      </c>
      <c r="B32" s="9"/>
      <c r="C32" s="9"/>
      <c r="D32" s="9"/>
      <c r="E32" s="9"/>
      <c r="F32" s="9" t="s">
        <v>54</v>
      </c>
      <c r="G32" s="11" t="str">
        <f aca="false">IF(AND(ISNUMBER(B32),F32&lt;&gt;""),B32*INDEX(Lists!$B$2:$B$7,MATCH(F32,Lists!$A$2:$A$7,0)),"")</f>
        <v/>
      </c>
      <c r="H32" s="11" t="str">
        <f aca="false">IF(AND(ISNUMBER(C32),F32&lt;&gt;""),C32*INDEX(Lists!$B$2:$B$7,MATCH(F32,Lists!$A$2:$A$7,0)),"")</f>
        <v/>
      </c>
      <c r="I32" s="11" t="str">
        <f aca="false">IF(AND(ISNUMBER(D32),F32&lt;&gt;""),D32*INDEX(Lists!$B$2:$B$7,MATCH(F32,Lists!$A$2:$A$7,0)),"")</f>
        <v/>
      </c>
      <c r="J32" s="11" t="str">
        <f aca="false">IF(AND(ISNUMBER(E32),F32&lt;&gt;""),E32*INDEX(Lists!$B$2:$B$7,MATCH(F32,Lists!$A$2:$A$7,0)),"")</f>
        <v/>
      </c>
      <c r="K32" s="9"/>
      <c r="L32" s="9"/>
      <c r="M32" s="9"/>
    </row>
    <row r="33" customFormat="false" ht="15" hidden="false" customHeight="true" outlineLevel="0" collapsed="false">
      <c r="A33" s="8" t="s">
        <v>338</v>
      </c>
      <c r="B33" s="9"/>
      <c r="C33" s="9"/>
      <c r="D33" s="9"/>
      <c r="E33" s="9"/>
      <c r="F33" s="9" t="s">
        <v>54</v>
      </c>
      <c r="G33" s="11" t="str">
        <f aca="false">IF(AND(ISNUMBER(B33),F33&lt;&gt;""),B33*INDEX(Lists!$B$2:$B$7,MATCH(F33,Lists!$A$2:$A$7,0)),"")</f>
        <v/>
      </c>
      <c r="H33" s="11" t="str">
        <f aca="false">IF(AND(ISNUMBER(C33),F33&lt;&gt;""),C33*INDEX(Lists!$B$2:$B$7,MATCH(F33,Lists!$A$2:$A$7,0)),"")</f>
        <v/>
      </c>
      <c r="I33" s="11" t="str">
        <f aca="false">IF(AND(ISNUMBER(D33),F33&lt;&gt;""),D33*INDEX(Lists!$B$2:$B$7,MATCH(F33,Lists!$A$2:$A$7,0)),"")</f>
        <v/>
      </c>
      <c r="J33" s="11" t="str">
        <f aca="false">IF(AND(ISNUMBER(E33),F33&lt;&gt;""),E33*INDEX(Lists!$B$2:$B$7,MATCH(F33,Lists!$A$2:$A$7,0)),"")</f>
        <v/>
      </c>
      <c r="K33" s="9"/>
      <c r="L33" s="9"/>
      <c r="M33" s="9"/>
    </row>
    <row r="35" customFormat="false" ht="15" hidden="false" customHeight="true" outlineLevel="0" collapsed="false">
      <c r="A35" s="12" t="s">
        <v>339</v>
      </c>
    </row>
    <row r="36" customFormat="false" ht="23.25" hidden="false" customHeight="true" outlineLevel="0" collapsed="false">
      <c r="A36" s="5" t="s">
        <v>296</v>
      </c>
      <c r="B36" s="5" t="s">
        <v>340</v>
      </c>
      <c r="C36" s="5" t="s">
        <v>341</v>
      </c>
      <c r="D36" s="5" t="s">
        <v>297</v>
      </c>
      <c r="E36" s="5" t="s">
        <v>39</v>
      </c>
      <c r="F36" s="5" t="s">
        <v>40</v>
      </c>
    </row>
    <row r="37" customFormat="false" ht="15" hidden="false" customHeight="true" outlineLevel="0" collapsed="false">
      <c r="A37" s="8" t="s">
        <v>342</v>
      </c>
      <c r="B37" s="9"/>
      <c r="C37" s="9"/>
      <c r="D37" s="9" t="s">
        <v>54</v>
      </c>
      <c r="E37" s="9"/>
      <c r="F37" s="9"/>
    </row>
    <row r="38" customFormat="false" ht="15" hidden="false" customHeight="true" outlineLevel="0" collapsed="false">
      <c r="A38" s="8" t="s">
        <v>343</v>
      </c>
      <c r="B38" s="9"/>
      <c r="C38" s="9"/>
      <c r="D38" s="9" t="s">
        <v>54</v>
      </c>
      <c r="E38" s="9"/>
      <c r="F38" s="9"/>
    </row>
  </sheetData>
  <dataValidations count="1">
    <dataValidation allowBlank="true" errorStyle="stop" operator="between" showDropDown="false" showErrorMessage="false" showInputMessage="false" sqref="F4:F38" type="list">
      <formula1>Lists!$A$2:$A$7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4" min="3" style="1" width="8"/>
    <col collapsed="false" customWidth="true" hidden="false" outlineLevel="0" max="5" min="5" style="1" width="10"/>
    <col collapsed="false" customWidth="true" hidden="false" outlineLevel="0" max="6" min="6" style="1" width="16"/>
    <col collapsed="false" customWidth="true" hidden="false" outlineLevel="0" max="8" min="7" style="1" width="10"/>
    <col collapsed="false" customWidth="true" hidden="false" outlineLevel="0" max="9" min="9" style="1" width="6"/>
    <col collapsed="false" customWidth="true" hidden="false" outlineLevel="0" max="11" min="10" style="1" width="12"/>
    <col collapsed="false" customWidth="true" hidden="false" outlineLevel="0" max="15" min="12" style="1" width="14"/>
    <col collapsed="false" customWidth="true" hidden="false" outlineLevel="0" max="16" min="16" style="1" width="18"/>
    <col collapsed="false" customWidth="true" hidden="false" outlineLevel="0" max="17" min="17" style="1" width="12"/>
    <col collapsed="false" customWidth="true" hidden="false" outlineLevel="0" max="18" min="18" style="1" width="14"/>
    <col collapsed="false" customWidth="true" hidden="false" outlineLevel="0" max="19" min="19" style="1" width="20"/>
    <col collapsed="false" customWidth="true" hidden="false" outlineLevel="0" max="20" min="20" style="1" width="18"/>
    <col collapsed="false" customWidth="true" hidden="false" outlineLevel="0" max="21" min="21" style="1" width="12"/>
    <col collapsed="false" customWidth="true" hidden="false" outlineLevel="0" max="22" min="22" style="1" width="10"/>
    <col collapsed="false" customWidth="true" hidden="false" outlineLevel="0" max="23" min="23" style="1" width="40"/>
  </cols>
  <sheetData>
    <row r="1" customFormat="false" ht="54" hidden="false" customHeight="true" outlineLevel="0" collapsed="false">
      <c r="A1" s="5" t="s">
        <v>344</v>
      </c>
      <c r="B1" s="5" t="s">
        <v>345</v>
      </c>
      <c r="C1" s="5" t="s">
        <v>258</v>
      </c>
      <c r="D1" s="5" t="s">
        <v>261</v>
      </c>
      <c r="E1" s="5" t="s">
        <v>264</v>
      </c>
      <c r="F1" s="5" t="s">
        <v>346</v>
      </c>
      <c r="G1" s="5" t="s">
        <v>268</v>
      </c>
      <c r="H1" s="5" t="s">
        <v>347</v>
      </c>
      <c r="I1" s="5" t="s">
        <v>297</v>
      </c>
      <c r="J1" s="5" t="s">
        <v>327</v>
      </c>
      <c r="K1" s="5" t="s">
        <v>328</v>
      </c>
      <c r="L1" s="5" t="s">
        <v>329</v>
      </c>
      <c r="M1" s="5" t="s">
        <v>348</v>
      </c>
      <c r="N1" s="5" t="s">
        <v>349</v>
      </c>
      <c r="O1" s="5" t="s">
        <v>350</v>
      </c>
      <c r="P1" s="5" t="s">
        <v>351</v>
      </c>
      <c r="Q1" s="5" t="s">
        <v>352</v>
      </c>
      <c r="R1" s="5" t="s">
        <v>353</v>
      </c>
      <c r="S1" s="5" t="s">
        <v>354</v>
      </c>
      <c r="T1" s="5" t="s">
        <v>355</v>
      </c>
      <c r="U1" s="5" t="s">
        <v>356</v>
      </c>
      <c r="V1" s="5" t="s">
        <v>357</v>
      </c>
      <c r="W1" s="5" t="s">
        <v>43</v>
      </c>
    </row>
    <row r="2" customFormat="false" ht="45.75" hidden="false" customHeight="true" outlineLevel="0" collapsed="false">
      <c r="A2" s="8" t="s">
        <v>358</v>
      </c>
      <c r="B2" s="8" t="s">
        <v>359</v>
      </c>
      <c r="C2" s="9" t="n">
        <v>70</v>
      </c>
      <c r="D2" s="9" t="n">
        <v>94</v>
      </c>
      <c r="E2" s="9" t="n">
        <v>20.6</v>
      </c>
      <c r="F2" s="9" t="s">
        <v>360</v>
      </c>
      <c r="G2" s="9"/>
      <c r="H2" s="9"/>
      <c r="I2" s="9" t="s">
        <v>54</v>
      </c>
      <c r="J2" s="10" t="n">
        <f aca="false">IF(AND(ISNUMBER(C2),$I2&lt;&gt;""),C2*INDEX(Lists!$B$2:$B$7,MATCH($I2,Lists!$A$2:$A$7,0)),"")</f>
        <v>700</v>
      </c>
      <c r="K2" s="10" t="n">
        <f aca="false">IF(AND(ISNUMBER(D2),$I2&lt;&gt;""),D2*INDEX(Lists!$B$2:$B$7,MATCH($I2,Lists!$A$2:$A$7,0)),"")</f>
        <v>940</v>
      </c>
      <c r="L2" s="10" t="n">
        <f aca="false">IF(AND(ISNUMBER(E2),$I2&lt;&gt;""),E2*INDEX(Lists!$B$2:$B$7,MATCH($I2,Lists!$A$2:$A$7,0)),"")</f>
        <v>206</v>
      </c>
      <c r="M2" s="10" t="str">
        <f aca="false">IF(AND(ISNUMBER(G2),$I2&lt;&gt;""),G2*INDEX(Lists!$B$2:$B$7,MATCH($I2,Lists!$A$2:$A$7,0)),"")</f>
        <v/>
      </c>
      <c r="N2" s="9" t="s">
        <v>105</v>
      </c>
      <c r="O2" s="9" t="s">
        <v>361</v>
      </c>
      <c r="P2" s="9"/>
      <c r="Q2" s="9"/>
      <c r="R2" s="9" t="s">
        <v>362</v>
      </c>
      <c r="S2" s="9"/>
      <c r="T2" s="9"/>
      <c r="U2" s="9"/>
      <c r="V2" s="9" t="s">
        <v>363</v>
      </c>
      <c r="W2" s="9" t="s">
        <v>364</v>
      </c>
    </row>
    <row r="3" customFormat="false" ht="15" hidden="false" customHeight="true" outlineLevel="0" collapsed="false">
      <c r="A3" s="8" t="s">
        <v>365</v>
      </c>
      <c r="B3" s="8" t="s">
        <v>366</v>
      </c>
      <c r="C3" s="9"/>
      <c r="D3" s="9"/>
      <c r="E3" s="9"/>
      <c r="F3" s="9"/>
      <c r="G3" s="9"/>
      <c r="H3" s="9"/>
      <c r="I3" s="9" t="s">
        <v>54</v>
      </c>
      <c r="J3" s="10" t="str">
        <f aca="false">IF(AND(ISNUMBER(C3),$I3&lt;&gt;""),C3*INDEX(Lists!$B$2:$B$7,MATCH($I3,Lists!$A$2:$A$7,0)),"")</f>
        <v/>
      </c>
      <c r="K3" s="10" t="str">
        <f aca="false">IF(AND(ISNUMBER(D3),$I3&lt;&gt;""),D3*INDEX(Lists!$B$2:$B$7,MATCH($I3,Lists!$A$2:$A$7,0)),"")</f>
        <v/>
      </c>
      <c r="L3" s="10" t="str">
        <f aca="false">IF(AND(ISNUMBER(E3),$I3&lt;&gt;""),E3*INDEX(Lists!$B$2:$B$7,MATCH($I3,Lists!$A$2:$A$7,0)),"")</f>
        <v/>
      </c>
      <c r="M3" s="10" t="str">
        <f aca="false">IF(AND(ISNUMBER(G3),$I3&lt;&gt;""),G3*INDEX(Lists!$B$2:$B$7,MATCH($I3,Lists!$A$2:$A$7,0)),"")</f>
        <v/>
      </c>
      <c r="N3" s="9" t="s">
        <v>105</v>
      </c>
      <c r="O3" s="9"/>
      <c r="P3" s="9"/>
      <c r="Q3" s="9"/>
      <c r="R3" s="9" t="s">
        <v>362</v>
      </c>
      <c r="S3" s="9"/>
      <c r="T3" s="9"/>
      <c r="U3" s="9"/>
      <c r="V3" s="9" t="s">
        <v>363</v>
      </c>
      <c r="W3" s="9"/>
    </row>
    <row r="4" customFormat="false" ht="15" hidden="false" customHeight="true" outlineLevel="0" collapsed="false">
      <c r="A4" s="8" t="s">
        <v>367</v>
      </c>
      <c r="B4" s="8" t="s">
        <v>368</v>
      </c>
      <c r="C4" s="9"/>
      <c r="D4" s="9"/>
      <c r="E4" s="9"/>
      <c r="F4" s="9"/>
      <c r="G4" s="9"/>
      <c r="H4" s="9"/>
      <c r="I4" s="9" t="s">
        <v>54</v>
      </c>
      <c r="J4" s="10" t="str">
        <f aca="false">IF(AND(ISNUMBER(C4),$I4&lt;&gt;""),C4*INDEX(Lists!$B$2:$B$7,MATCH($I4,Lists!$A$2:$A$7,0)),"")</f>
        <v/>
      </c>
      <c r="K4" s="10" t="str">
        <f aca="false">IF(AND(ISNUMBER(D4),$I4&lt;&gt;""),D4*INDEX(Lists!$B$2:$B$7,MATCH($I4,Lists!$A$2:$A$7,0)),"")</f>
        <v/>
      </c>
      <c r="L4" s="10" t="str">
        <f aca="false">IF(AND(ISNUMBER(E4),$I4&lt;&gt;""),E4*INDEX(Lists!$B$2:$B$7,MATCH($I4,Lists!$A$2:$A$7,0)),"")</f>
        <v/>
      </c>
      <c r="M4" s="10" t="str">
        <f aca="false">IF(AND(ISNUMBER(G4),$I4&lt;&gt;""),G4*INDEX(Lists!$B$2:$B$7,MATCH($I4,Lists!$A$2:$A$7,0)),"")</f>
        <v/>
      </c>
      <c r="N4" s="9" t="s">
        <v>105</v>
      </c>
      <c r="O4" s="9"/>
      <c r="P4" s="9"/>
      <c r="Q4" s="9"/>
      <c r="R4" s="9" t="s">
        <v>362</v>
      </c>
      <c r="S4" s="9"/>
      <c r="T4" s="9"/>
      <c r="U4" s="9"/>
      <c r="V4" s="9" t="s">
        <v>363</v>
      </c>
      <c r="W4" s="9"/>
    </row>
    <row r="5" customFormat="false" ht="15" hidden="false" customHeight="true" outlineLevel="0" collapsed="false">
      <c r="A5" s="8" t="s">
        <v>369</v>
      </c>
      <c r="B5" s="8" t="s">
        <v>370</v>
      </c>
      <c r="C5" s="9"/>
      <c r="D5" s="9"/>
      <c r="E5" s="9"/>
      <c r="F5" s="9"/>
      <c r="G5" s="9"/>
      <c r="H5" s="9"/>
      <c r="I5" s="9" t="s">
        <v>54</v>
      </c>
      <c r="J5" s="10" t="str">
        <f aca="false">IF(AND(ISNUMBER(C5),$I5&lt;&gt;""),C5*INDEX(Lists!$B$2:$B$7,MATCH($I5,Lists!$A$2:$A$7,0)),"")</f>
        <v/>
      </c>
      <c r="K5" s="10" t="str">
        <f aca="false">IF(AND(ISNUMBER(D5),$I5&lt;&gt;""),D5*INDEX(Lists!$B$2:$B$7,MATCH($I5,Lists!$A$2:$A$7,0)),"")</f>
        <v/>
      </c>
      <c r="L5" s="10" t="str">
        <f aca="false">IF(AND(ISNUMBER(E5),$I5&lt;&gt;""),E5*INDEX(Lists!$B$2:$B$7,MATCH($I5,Lists!$A$2:$A$7,0)),"")</f>
        <v/>
      </c>
      <c r="M5" s="10" t="str">
        <f aca="false">IF(AND(ISNUMBER(G5),$I5&lt;&gt;""),G5*INDEX(Lists!$B$2:$B$7,MATCH($I5,Lists!$A$2:$A$7,0)),"")</f>
        <v/>
      </c>
      <c r="N5" s="9" t="s">
        <v>105</v>
      </c>
      <c r="O5" s="9"/>
      <c r="P5" s="9"/>
      <c r="Q5" s="9"/>
      <c r="R5" s="9" t="s">
        <v>362</v>
      </c>
      <c r="S5" s="9"/>
      <c r="T5" s="9"/>
      <c r="U5" s="9"/>
      <c r="V5" s="9" t="s">
        <v>363</v>
      </c>
      <c r="W5" s="9"/>
    </row>
    <row r="6" customFormat="false" ht="23.25" hidden="false" customHeight="true" outlineLevel="0" collapsed="false">
      <c r="A6" s="8" t="s">
        <v>371</v>
      </c>
      <c r="B6" s="8" t="s">
        <v>372</v>
      </c>
      <c r="C6" s="9"/>
      <c r="D6" s="9"/>
      <c r="E6" s="9"/>
      <c r="F6" s="9"/>
      <c r="G6" s="9"/>
      <c r="H6" s="9"/>
      <c r="I6" s="9" t="s">
        <v>54</v>
      </c>
      <c r="J6" s="10" t="str">
        <f aca="false">IF(AND(ISNUMBER(C6),$I6&lt;&gt;""),C6*INDEX(Lists!$B$2:$B$7,MATCH($I6,Lists!$A$2:$A$7,0)),"")</f>
        <v/>
      </c>
      <c r="K6" s="10" t="str">
        <f aca="false">IF(AND(ISNUMBER(D6),$I6&lt;&gt;""),D6*INDEX(Lists!$B$2:$B$7,MATCH($I6,Lists!$A$2:$A$7,0)),"")</f>
        <v/>
      </c>
      <c r="L6" s="10" t="str">
        <f aca="false">IF(AND(ISNUMBER(E6),$I6&lt;&gt;""),E6*INDEX(Lists!$B$2:$B$7,MATCH($I6,Lists!$A$2:$A$7,0)),"")</f>
        <v/>
      </c>
      <c r="M6" s="10" t="str">
        <f aca="false">IF(AND(ISNUMBER(G6),$I6&lt;&gt;""),G6*INDEX(Lists!$B$2:$B$7,MATCH($I6,Lists!$A$2:$A$7,0)),"")</f>
        <v/>
      </c>
      <c r="N6" s="9" t="s">
        <v>105</v>
      </c>
      <c r="O6" s="9"/>
      <c r="P6" s="9"/>
      <c r="Q6" s="9"/>
      <c r="R6" s="9" t="s">
        <v>362</v>
      </c>
      <c r="S6" s="9"/>
      <c r="T6" s="9"/>
      <c r="U6" s="9"/>
      <c r="V6" s="9" t="s">
        <v>363</v>
      </c>
      <c r="W6" s="9"/>
    </row>
    <row r="7" customFormat="false" ht="23.25" hidden="false" customHeight="true" outlineLevel="0" collapsed="false">
      <c r="A7" s="8" t="s">
        <v>373</v>
      </c>
      <c r="B7" s="8" t="s">
        <v>374</v>
      </c>
      <c r="C7" s="9"/>
      <c r="D7" s="9"/>
      <c r="E7" s="9"/>
      <c r="F7" s="9"/>
      <c r="G7" s="9"/>
      <c r="H7" s="9"/>
      <c r="I7" s="9" t="s">
        <v>54</v>
      </c>
      <c r="J7" s="10" t="str">
        <f aca="false">IF(AND(ISNUMBER(C7),$I7&lt;&gt;""),C7*INDEX(Lists!$B$2:$B$7,MATCH($I7,Lists!$A$2:$A$7,0)),"")</f>
        <v/>
      </c>
      <c r="K7" s="10" t="str">
        <f aca="false">IF(AND(ISNUMBER(D7),$I7&lt;&gt;""),D7*INDEX(Lists!$B$2:$B$7,MATCH($I7,Lists!$A$2:$A$7,0)),"")</f>
        <v/>
      </c>
      <c r="L7" s="10" t="str">
        <f aca="false">IF(AND(ISNUMBER(E7),$I7&lt;&gt;""),E7*INDEX(Lists!$B$2:$B$7,MATCH($I7,Lists!$A$2:$A$7,0)),"")</f>
        <v/>
      </c>
      <c r="M7" s="10" t="str">
        <f aca="false">IF(AND(ISNUMBER(G7),$I7&lt;&gt;""),G7*INDEX(Lists!$B$2:$B$7,MATCH($I7,Lists!$A$2:$A$7,0)),"")</f>
        <v/>
      </c>
      <c r="N7" s="9" t="s">
        <v>105</v>
      </c>
      <c r="O7" s="9"/>
      <c r="P7" s="9"/>
      <c r="Q7" s="9"/>
      <c r="R7" s="9" t="s">
        <v>362</v>
      </c>
      <c r="S7" s="9"/>
      <c r="T7" s="9"/>
      <c r="U7" s="9"/>
      <c r="V7" s="9" t="s">
        <v>363</v>
      </c>
      <c r="W7" s="9"/>
    </row>
    <row r="8" customFormat="false" ht="15" hidden="false" customHeight="true" outlineLevel="0" collapsed="false">
      <c r="A8" s="8" t="s">
        <v>375</v>
      </c>
      <c r="B8" s="8" t="s">
        <v>376</v>
      </c>
      <c r="C8" s="9"/>
      <c r="D8" s="9"/>
      <c r="E8" s="9"/>
      <c r="F8" s="9"/>
      <c r="G8" s="9"/>
      <c r="H8" s="9"/>
      <c r="I8" s="9" t="s">
        <v>54</v>
      </c>
      <c r="J8" s="10" t="str">
        <f aca="false">IF(AND(ISNUMBER(C8),$I8&lt;&gt;""),C8*INDEX(Lists!$B$2:$B$7,MATCH($I8,Lists!$A$2:$A$7,0)),"")</f>
        <v/>
      </c>
      <c r="K8" s="10" t="str">
        <f aca="false">IF(AND(ISNUMBER(D8),$I8&lt;&gt;""),D8*INDEX(Lists!$B$2:$B$7,MATCH($I8,Lists!$A$2:$A$7,0)),"")</f>
        <v/>
      </c>
      <c r="L8" s="10" t="str">
        <f aca="false">IF(AND(ISNUMBER(E8),$I8&lt;&gt;""),E8*INDEX(Lists!$B$2:$B$7,MATCH($I8,Lists!$A$2:$A$7,0)),"")</f>
        <v/>
      </c>
      <c r="M8" s="10" t="str">
        <f aca="false">IF(AND(ISNUMBER(G8),$I8&lt;&gt;""),G8*INDEX(Lists!$B$2:$B$7,MATCH($I8,Lists!$A$2:$A$7,0)),"")</f>
        <v/>
      </c>
      <c r="N8" s="9" t="s">
        <v>105</v>
      </c>
      <c r="O8" s="9"/>
      <c r="P8" s="9"/>
      <c r="Q8" s="9"/>
      <c r="R8" s="9" t="s">
        <v>362</v>
      </c>
      <c r="S8" s="9"/>
      <c r="T8" s="9"/>
      <c r="U8" s="9"/>
      <c r="V8" s="9" t="s">
        <v>363</v>
      </c>
      <c r="W8" s="9"/>
    </row>
    <row r="9" customFormat="false" ht="15" hidden="false" customHeight="true" outlineLevel="0" collapsed="false">
      <c r="A9" s="8" t="s">
        <v>377</v>
      </c>
      <c r="B9" s="8" t="s">
        <v>378</v>
      </c>
      <c r="C9" s="9"/>
      <c r="D9" s="9"/>
      <c r="E9" s="9"/>
      <c r="F9" s="9"/>
      <c r="G9" s="9"/>
      <c r="H9" s="9"/>
      <c r="I9" s="9" t="s">
        <v>54</v>
      </c>
      <c r="J9" s="10" t="str">
        <f aca="false">IF(AND(ISNUMBER(C9),$I9&lt;&gt;""),C9*INDEX(Lists!$B$2:$B$7,MATCH($I9,Lists!$A$2:$A$7,0)),"")</f>
        <v/>
      </c>
      <c r="K9" s="10" t="str">
        <f aca="false">IF(AND(ISNUMBER(D9),$I9&lt;&gt;""),D9*INDEX(Lists!$B$2:$B$7,MATCH($I9,Lists!$A$2:$A$7,0)),"")</f>
        <v/>
      </c>
      <c r="L9" s="10" t="str">
        <f aca="false">IF(AND(ISNUMBER(E9),$I9&lt;&gt;""),E9*INDEX(Lists!$B$2:$B$7,MATCH($I9,Lists!$A$2:$A$7,0)),"")</f>
        <v/>
      </c>
      <c r="M9" s="10" t="str">
        <f aca="false">IF(AND(ISNUMBER(G9),$I9&lt;&gt;""),G9*INDEX(Lists!$B$2:$B$7,MATCH($I9,Lists!$A$2:$A$7,0)),"")</f>
        <v/>
      </c>
      <c r="N9" s="9" t="s">
        <v>105</v>
      </c>
      <c r="O9" s="9"/>
      <c r="P9" s="9"/>
      <c r="Q9" s="9"/>
      <c r="R9" s="9" t="s">
        <v>362</v>
      </c>
      <c r="S9" s="9"/>
      <c r="T9" s="9"/>
      <c r="U9" s="9"/>
      <c r="V9" s="9" t="s">
        <v>363</v>
      </c>
      <c r="W9" s="9"/>
    </row>
    <row r="10" customFormat="false" ht="15" hidden="false" customHeight="true" outlineLevel="0" collapsed="false">
      <c r="A10" s="8" t="s">
        <v>379</v>
      </c>
      <c r="B10" s="8" t="s">
        <v>380</v>
      </c>
      <c r="C10" s="9"/>
      <c r="D10" s="9"/>
      <c r="E10" s="9"/>
      <c r="F10" s="9"/>
      <c r="G10" s="9"/>
      <c r="H10" s="9"/>
      <c r="I10" s="9" t="s">
        <v>54</v>
      </c>
      <c r="J10" s="10" t="str">
        <f aca="false">IF(AND(ISNUMBER(C10),$I10&lt;&gt;""),C10*INDEX(Lists!$B$2:$B$7,MATCH($I10,Lists!$A$2:$A$7,0)),"")</f>
        <v/>
      </c>
      <c r="K10" s="10" t="str">
        <f aca="false">IF(AND(ISNUMBER(D10),$I10&lt;&gt;""),D10*INDEX(Lists!$B$2:$B$7,MATCH($I10,Lists!$A$2:$A$7,0)),"")</f>
        <v/>
      </c>
      <c r="L10" s="10" t="str">
        <f aca="false">IF(AND(ISNUMBER(E10),$I10&lt;&gt;""),E10*INDEX(Lists!$B$2:$B$7,MATCH($I10,Lists!$A$2:$A$7,0)),"")</f>
        <v/>
      </c>
      <c r="M10" s="10" t="str">
        <f aca="false">IF(AND(ISNUMBER(G10),$I10&lt;&gt;""),G10*INDEX(Lists!$B$2:$B$7,MATCH($I10,Lists!$A$2:$A$7,0)),"")</f>
        <v/>
      </c>
      <c r="N10" s="9" t="s">
        <v>105</v>
      </c>
      <c r="O10" s="9"/>
      <c r="P10" s="9"/>
      <c r="Q10" s="9"/>
      <c r="R10" s="9" t="s">
        <v>362</v>
      </c>
      <c r="S10" s="9"/>
      <c r="T10" s="9"/>
      <c r="U10" s="9"/>
      <c r="V10" s="9" t="s">
        <v>363</v>
      </c>
      <c r="W10" s="9"/>
    </row>
    <row r="11" customFormat="false" ht="23.25" hidden="false" customHeight="true" outlineLevel="0" collapsed="false">
      <c r="A11" s="8" t="s">
        <v>381</v>
      </c>
      <c r="B11" s="8" t="s">
        <v>382</v>
      </c>
      <c r="C11" s="9"/>
      <c r="D11" s="9"/>
      <c r="E11" s="9"/>
      <c r="F11" s="9"/>
      <c r="G11" s="9"/>
      <c r="H11" s="9"/>
      <c r="I11" s="9" t="s">
        <v>54</v>
      </c>
      <c r="J11" s="10" t="str">
        <f aca="false">IF(AND(ISNUMBER(C11),$I11&lt;&gt;""),C11*INDEX(Lists!$B$2:$B$7,MATCH($I11,Lists!$A$2:$A$7,0)),"")</f>
        <v/>
      </c>
      <c r="K11" s="10" t="str">
        <f aca="false">IF(AND(ISNUMBER(D11),$I11&lt;&gt;""),D11*INDEX(Lists!$B$2:$B$7,MATCH($I11,Lists!$A$2:$A$7,0)),"")</f>
        <v/>
      </c>
      <c r="L11" s="10" t="str">
        <f aca="false">IF(AND(ISNUMBER(E11),$I11&lt;&gt;""),E11*INDEX(Lists!$B$2:$B$7,MATCH($I11,Lists!$A$2:$A$7,0)),"")</f>
        <v/>
      </c>
      <c r="M11" s="10" t="str">
        <f aca="false">IF(AND(ISNUMBER(G11),$I11&lt;&gt;""),G11*INDEX(Lists!$B$2:$B$7,MATCH($I11,Lists!$A$2:$A$7,0)),"")</f>
        <v/>
      </c>
      <c r="N11" s="9" t="s">
        <v>105</v>
      </c>
      <c r="O11" s="9"/>
      <c r="P11" s="9"/>
      <c r="Q11" s="9"/>
      <c r="R11" s="9" t="s">
        <v>362</v>
      </c>
      <c r="S11" s="9"/>
      <c r="T11" s="9"/>
      <c r="U11" s="9"/>
      <c r="V11" s="9" t="s">
        <v>363</v>
      </c>
      <c r="W11" s="9"/>
    </row>
    <row r="13" customFormat="false" ht="15" hidden="false" customHeight="true" outlineLevel="0" collapsed="false">
      <c r="A13" s="13" t="s">
        <v>383</v>
      </c>
    </row>
  </sheetData>
  <dataValidations count="5">
    <dataValidation allowBlank="true" errorStyle="stop" operator="between" showDropDown="false" showErrorMessage="false" showInputMessage="false" sqref="F2:F11" type="list">
      <formula1>Lists!$H$2:$H$4</formula1>
      <formula2>0</formula2>
    </dataValidation>
    <dataValidation allowBlank="true" errorStyle="stop" operator="between" showDropDown="false" showErrorMessage="false" showInputMessage="false" sqref="I2:I11" type="list">
      <formula1>Lists!$A$2:$A$7</formula1>
      <formula2>0</formula2>
    </dataValidation>
    <dataValidation allowBlank="true" errorStyle="stop" operator="between" showDropDown="false" showErrorMessage="false" showInputMessage="false" sqref="N2:N11" type="list">
      <formula1>Lists!$I$2:$I$3</formula1>
      <formula2>0</formula2>
    </dataValidation>
    <dataValidation allowBlank="true" errorStyle="stop" operator="between" showDropDown="false" showErrorMessage="false" showInputMessage="false" sqref="O2:O11" type="list">
      <formula1>Lists!$G$2:$G$3</formula1>
      <formula2>0</formula2>
    </dataValidation>
    <dataValidation allowBlank="true" errorStyle="stop" operator="between" showDropDown="false" showErrorMessage="false" showInputMessage="false" sqref="V2:V11" type="list">
      <formula1>Lists!$J$2:$J$4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30"/>
    <col collapsed="false" customWidth="true" hidden="false" outlineLevel="0" max="5" min="4" style="1" width="14"/>
    <col collapsed="false" customWidth="true" hidden="false" outlineLevel="0" max="6" min="6" style="1" width="7"/>
    <col collapsed="false" customWidth="true" hidden="false" outlineLevel="0" max="8" min="7" style="1" width="12"/>
    <col collapsed="false" customWidth="true" hidden="false" outlineLevel="0" max="9" min="9" style="1" width="10"/>
    <col collapsed="false" customWidth="true" hidden="false" outlineLevel="0" max="10" min="10" style="1" width="16"/>
    <col collapsed="false" customWidth="true" hidden="false" outlineLevel="0" max="11" min="11" style="1" width="12"/>
    <col collapsed="false" customWidth="true" hidden="false" outlineLevel="0" max="12" min="12" style="1" width="30"/>
  </cols>
  <sheetData>
    <row r="1" customFormat="false" ht="42" hidden="false" customHeight="true" outlineLevel="0" collapsed="false">
      <c r="A1" s="5" t="s">
        <v>384</v>
      </c>
      <c r="B1" s="5" t="s">
        <v>27</v>
      </c>
      <c r="C1" s="5" t="s">
        <v>385</v>
      </c>
      <c r="D1" s="5" t="s">
        <v>386</v>
      </c>
      <c r="E1" s="5" t="s">
        <v>387</v>
      </c>
      <c r="F1" s="5" t="s">
        <v>297</v>
      </c>
      <c r="G1" s="5" t="s">
        <v>388</v>
      </c>
      <c r="H1" s="5" t="s">
        <v>389</v>
      </c>
      <c r="I1" s="5" t="s">
        <v>390</v>
      </c>
      <c r="J1" s="5" t="s">
        <v>39</v>
      </c>
      <c r="K1" s="5" t="s">
        <v>40</v>
      </c>
      <c r="L1" s="5" t="s">
        <v>43</v>
      </c>
    </row>
    <row r="2" customFormat="false" ht="15" hidden="false" customHeight="true" outlineLevel="0" collapsed="false">
      <c r="A2" s="8" t="n">
        <v>1</v>
      </c>
      <c r="B2" s="8" t="s">
        <v>46</v>
      </c>
      <c r="C2" s="9"/>
      <c r="D2" s="9"/>
      <c r="E2" s="9"/>
      <c r="F2" s="9" t="s">
        <v>391</v>
      </c>
      <c r="G2" s="11" t="str">
        <f aca="false">IF(AND(ISNUMBER(D2),F2&lt;&gt;""),D2*INDEX(Lists!$B$2:$B$7,MATCH(F2,Lists!$A$2:$A$7,0)),"")</f>
        <v/>
      </c>
      <c r="H2" s="11" t="str">
        <f aca="false">IF(AND(ISNUMBER(E2),F2&lt;&gt;""),E2*INDEX(Lists!$B$2:$B$7,MATCH(F2,Lists!$A$2:$A$7,0)),"")</f>
        <v/>
      </c>
      <c r="I2" s="8" t="s">
        <v>281</v>
      </c>
      <c r="J2" s="9"/>
      <c r="K2" s="9"/>
      <c r="L2" s="9"/>
    </row>
    <row r="3" customFormat="false" ht="15" hidden="false" customHeight="true" outlineLevel="0" collapsed="false">
      <c r="A3" s="8" t="n">
        <v>2</v>
      </c>
      <c r="B3" s="8" t="s">
        <v>46</v>
      </c>
      <c r="C3" s="9"/>
      <c r="D3" s="9"/>
      <c r="E3" s="9"/>
      <c r="F3" s="9" t="s">
        <v>391</v>
      </c>
      <c r="G3" s="11" t="str">
        <f aca="false">IF(AND(ISNUMBER(D3),F3&lt;&gt;""),D3*INDEX(Lists!$B$2:$B$7,MATCH(F3,Lists!$A$2:$A$7,0)),"")</f>
        <v/>
      </c>
      <c r="H3" s="11" t="str">
        <f aca="false">IF(AND(ISNUMBER(E3),F3&lt;&gt;""),E3*INDEX(Lists!$B$2:$B$7,MATCH(F3,Lists!$A$2:$A$7,0)),"")</f>
        <v/>
      </c>
      <c r="I3" s="8" t="s">
        <v>281</v>
      </c>
      <c r="J3" s="9"/>
      <c r="K3" s="9"/>
      <c r="L3" s="9"/>
    </row>
    <row r="4" customFormat="false" ht="15" hidden="false" customHeight="true" outlineLevel="0" collapsed="false">
      <c r="A4" s="8" t="n">
        <v>3</v>
      </c>
      <c r="B4" s="8" t="s">
        <v>46</v>
      </c>
      <c r="C4" s="9"/>
      <c r="D4" s="9"/>
      <c r="E4" s="9"/>
      <c r="F4" s="9" t="s">
        <v>391</v>
      </c>
      <c r="G4" s="11" t="str">
        <f aca="false">IF(AND(ISNUMBER(D4),F4&lt;&gt;""),D4*INDEX(Lists!$B$2:$B$7,MATCH(F4,Lists!$A$2:$A$7,0)),"")</f>
        <v/>
      </c>
      <c r="H4" s="11" t="str">
        <f aca="false">IF(AND(ISNUMBER(E4),F4&lt;&gt;""),E4*INDEX(Lists!$B$2:$B$7,MATCH(F4,Lists!$A$2:$A$7,0)),"")</f>
        <v/>
      </c>
      <c r="I4" s="8" t="s">
        <v>281</v>
      </c>
      <c r="J4" s="9"/>
      <c r="K4" s="9"/>
      <c r="L4" s="9"/>
    </row>
    <row r="5" customFormat="false" ht="15" hidden="false" customHeight="true" outlineLevel="0" collapsed="false">
      <c r="A5" s="8" t="n">
        <v>4</v>
      </c>
      <c r="B5" s="8" t="s">
        <v>46</v>
      </c>
      <c r="C5" s="9"/>
      <c r="D5" s="9"/>
      <c r="E5" s="9"/>
      <c r="F5" s="9" t="s">
        <v>391</v>
      </c>
      <c r="G5" s="11" t="str">
        <f aca="false">IF(AND(ISNUMBER(D5),F5&lt;&gt;""),D5*INDEX(Lists!$B$2:$B$7,MATCH(F5,Lists!$A$2:$A$7,0)),"")</f>
        <v/>
      </c>
      <c r="H5" s="11" t="str">
        <f aca="false">IF(AND(ISNUMBER(E5),F5&lt;&gt;""),E5*INDEX(Lists!$B$2:$B$7,MATCH(F5,Lists!$A$2:$A$7,0)),"")</f>
        <v/>
      </c>
      <c r="I5" s="8" t="s">
        <v>281</v>
      </c>
      <c r="J5" s="9"/>
      <c r="K5" s="9"/>
      <c r="L5" s="9"/>
    </row>
    <row r="6" customFormat="false" ht="15" hidden="false" customHeight="true" outlineLevel="0" collapsed="false">
      <c r="A6" s="8" t="n">
        <v>5</v>
      </c>
      <c r="B6" s="8" t="s">
        <v>46</v>
      </c>
      <c r="C6" s="9"/>
      <c r="D6" s="9"/>
      <c r="E6" s="9"/>
      <c r="F6" s="9" t="s">
        <v>391</v>
      </c>
      <c r="G6" s="11" t="str">
        <f aca="false">IF(AND(ISNUMBER(D6),F6&lt;&gt;""),D6*INDEX(Lists!$B$2:$B$7,MATCH(F6,Lists!$A$2:$A$7,0)),"")</f>
        <v/>
      </c>
      <c r="H6" s="11" t="str">
        <f aca="false">IF(AND(ISNUMBER(E6),F6&lt;&gt;""),E6*INDEX(Lists!$B$2:$B$7,MATCH(F6,Lists!$A$2:$A$7,0)),"")</f>
        <v/>
      </c>
      <c r="I6" s="8" t="s">
        <v>281</v>
      </c>
      <c r="J6" s="9"/>
      <c r="K6" s="9"/>
      <c r="L6" s="9"/>
    </row>
    <row r="7" customFormat="false" ht="15" hidden="false" customHeight="true" outlineLevel="0" collapsed="false">
      <c r="A7" s="8" t="n">
        <v>6</v>
      </c>
      <c r="B7" s="8" t="s">
        <v>46</v>
      </c>
      <c r="C7" s="9"/>
      <c r="D7" s="9"/>
      <c r="E7" s="9"/>
      <c r="F7" s="9" t="s">
        <v>391</v>
      </c>
      <c r="G7" s="11" t="str">
        <f aca="false">IF(AND(ISNUMBER(D7),F7&lt;&gt;""),D7*INDEX(Lists!$B$2:$B$7,MATCH(F7,Lists!$A$2:$A$7,0)),"")</f>
        <v/>
      </c>
      <c r="H7" s="11" t="str">
        <f aca="false">IF(AND(ISNUMBER(E7),F7&lt;&gt;""),E7*INDEX(Lists!$B$2:$B$7,MATCH(F7,Lists!$A$2:$A$7,0)),"")</f>
        <v/>
      </c>
      <c r="I7" s="8" t="s">
        <v>281</v>
      </c>
      <c r="J7" s="9"/>
      <c r="K7" s="9"/>
      <c r="L7" s="9"/>
    </row>
    <row r="8" customFormat="false" ht="15" hidden="false" customHeight="true" outlineLevel="0" collapsed="false">
      <c r="A8" s="8" t="n">
        <v>7</v>
      </c>
      <c r="B8" s="8" t="s">
        <v>46</v>
      </c>
      <c r="C8" s="9"/>
      <c r="D8" s="9"/>
      <c r="E8" s="9"/>
      <c r="F8" s="9" t="s">
        <v>391</v>
      </c>
      <c r="G8" s="11" t="str">
        <f aca="false">IF(AND(ISNUMBER(D8),F8&lt;&gt;""),D8*INDEX(Lists!$B$2:$B$7,MATCH(F8,Lists!$A$2:$A$7,0)),"")</f>
        <v/>
      </c>
      <c r="H8" s="11" t="str">
        <f aca="false">IF(AND(ISNUMBER(E8),F8&lt;&gt;""),E8*INDEX(Lists!$B$2:$B$7,MATCH(F8,Lists!$A$2:$A$7,0)),"")</f>
        <v/>
      </c>
      <c r="I8" s="8" t="s">
        <v>281</v>
      </c>
      <c r="J8" s="9"/>
      <c r="K8" s="9"/>
      <c r="L8" s="9"/>
    </row>
    <row r="9" customFormat="false" ht="15" hidden="false" customHeight="true" outlineLevel="0" collapsed="false">
      <c r="A9" s="8" t="n">
        <v>8</v>
      </c>
      <c r="B9" s="8" t="s">
        <v>46</v>
      </c>
      <c r="C9" s="9"/>
      <c r="D9" s="9"/>
      <c r="E9" s="9"/>
      <c r="F9" s="9" t="s">
        <v>391</v>
      </c>
      <c r="G9" s="11" t="str">
        <f aca="false">IF(AND(ISNUMBER(D9),F9&lt;&gt;""),D9*INDEX(Lists!$B$2:$B$7,MATCH(F9,Lists!$A$2:$A$7,0)),"")</f>
        <v/>
      </c>
      <c r="H9" s="11" t="str">
        <f aca="false">IF(AND(ISNUMBER(E9),F9&lt;&gt;""),E9*INDEX(Lists!$B$2:$B$7,MATCH(F9,Lists!$A$2:$A$7,0)),"")</f>
        <v/>
      </c>
      <c r="I9" s="8" t="s">
        <v>281</v>
      </c>
      <c r="J9" s="9"/>
      <c r="K9" s="9"/>
      <c r="L9" s="9"/>
    </row>
    <row r="10" customFormat="false" ht="15" hidden="false" customHeight="true" outlineLevel="0" collapsed="false">
      <c r="A10" s="8" t="n">
        <v>9</v>
      </c>
      <c r="B10" s="8" t="s">
        <v>46</v>
      </c>
      <c r="C10" s="9"/>
      <c r="D10" s="9"/>
      <c r="E10" s="9"/>
      <c r="F10" s="9" t="s">
        <v>391</v>
      </c>
      <c r="G10" s="11" t="str">
        <f aca="false">IF(AND(ISNUMBER(D10),F10&lt;&gt;""),D10*INDEX(Lists!$B$2:$B$7,MATCH(F10,Lists!$A$2:$A$7,0)),"")</f>
        <v/>
      </c>
      <c r="H10" s="11" t="str">
        <f aca="false">IF(AND(ISNUMBER(E10),F10&lt;&gt;""),E10*INDEX(Lists!$B$2:$B$7,MATCH(F10,Lists!$A$2:$A$7,0)),"")</f>
        <v/>
      </c>
      <c r="I10" s="8" t="s">
        <v>281</v>
      </c>
      <c r="J10" s="9"/>
      <c r="K10" s="9"/>
      <c r="L10" s="9"/>
    </row>
    <row r="11" customFormat="false" ht="15" hidden="false" customHeight="true" outlineLevel="0" collapsed="false">
      <c r="A11" s="8" t="n">
        <v>10</v>
      </c>
      <c r="B11" s="8" t="s">
        <v>46</v>
      </c>
      <c r="C11" s="9"/>
      <c r="D11" s="9"/>
      <c r="E11" s="9"/>
      <c r="F11" s="9" t="s">
        <v>391</v>
      </c>
      <c r="G11" s="11" t="str">
        <f aca="false">IF(AND(ISNUMBER(D11),F11&lt;&gt;""),D11*INDEX(Lists!$B$2:$B$7,MATCH(F11,Lists!$A$2:$A$7,0)),"")</f>
        <v/>
      </c>
      <c r="H11" s="11" t="str">
        <f aca="false">IF(AND(ISNUMBER(E11),F11&lt;&gt;""),E11*INDEX(Lists!$B$2:$B$7,MATCH(F11,Lists!$A$2:$A$7,0)),"")</f>
        <v/>
      </c>
      <c r="I11" s="8" t="s">
        <v>281</v>
      </c>
      <c r="J11" s="9"/>
      <c r="K11" s="9"/>
      <c r="L11" s="9"/>
    </row>
    <row r="12" customFormat="false" ht="15" hidden="false" customHeight="true" outlineLevel="0" collapsed="false">
      <c r="A12" s="8" t="n">
        <v>11</v>
      </c>
      <c r="B12" s="8" t="s">
        <v>46</v>
      </c>
      <c r="C12" s="9"/>
      <c r="D12" s="9"/>
      <c r="E12" s="9"/>
      <c r="F12" s="9" t="s">
        <v>391</v>
      </c>
      <c r="G12" s="11" t="str">
        <f aca="false">IF(AND(ISNUMBER(D12),F12&lt;&gt;""),D12*INDEX(Lists!$B$2:$B$7,MATCH(F12,Lists!$A$2:$A$7,0)),"")</f>
        <v/>
      </c>
      <c r="H12" s="11" t="str">
        <f aca="false">IF(AND(ISNUMBER(E12),F12&lt;&gt;""),E12*INDEX(Lists!$B$2:$B$7,MATCH(F12,Lists!$A$2:$A$7,0)),"")</f>
        <v/>
      </c>
      <c r="I12" s="8" t="s">
        <v>281</v>
      </c>
      <c r="J12" s="9"/>
      <c r="K12" s="9"/>
      <c r="L12" s="9"/>
    </row>
    <row r="13" customFormat="false" ht="15" hidden="false" customHeight="true" outlineLevel="0" collapsed="false">
      <c r="A13" s="8" t="n">
        <v>12</v>
      </c>
      <c r="B13" s="8" t="s">
        <v>107</v>
      </c>
      <c r="C13" s="9"/>
      <c r="D13" s="9"/>
      <c r="E13" s="9"/>
      <c r="F13" s="9" t="s">
        <v>391</v>
      </c>
      <c r="G13" s="11" t="str">
        <f aca="false">IF(AND(ISNUMBER(D13),F13&lt;&gt;""),D13*INDEX(Lists!$B$2:$B$7,MATCH(F13,Lists!$A$2:$A$7,0)),"")</f>
        <v/>
      </c>
      <c r="H13" s="11" t="str">
        <f aca="false">IF(AND(ISNUMBER(E13),F13&lt;&gt;""),E13*INDEX(Lists!$B$2:$B$7,MATCH(F13,Lists!$A$2:$A$7,0)),"")</f>
        <v/>
      </c>
      <c r="I13" s="8" t="s">
        <v>281</v>
      </c>
      <c r="J13" s="9"/>
      <c r="K13" s="9"/>
      <c r="L13" s="9"/>
    </row>
    <row r="14" customFormat="false" ht="15" hidden="false" customHeight="true" outlineLevel="0" collapsed="false">
      <c r="A14" s="8" t="n">
        <v>13</v>
      </c>
      <c r="B14" s="8" t="s">
        <v>107</v>
      </c>
      <c r="C14" s="9"/>
      <c r="D14" s="9"/>
      <c r="E14" s="9"/>
      <c r="F14" s="9" t="s">
        <v>391</v>
      </c>
      <c r="G14" s="11" t="str">
        <f aca="false">IF(AND(ISNUMBER(D14),F14&lt;&gt;""),D14*INDEX(Lists!$B$2:$B$7,MATCH(F14,Lists!$A$2:$A$7,0)),"")</f>
        <v/>
      </c>
      <c r="H14" s="11" t="str">
        <f aca="false">IF(AND(ISNUMBER(E14),F14&lt;&gt;""),E14*INDEX(Lists!$B$2:$B$7,MATCH(F14,Lists!$A$2:$A$7,0)),"")</f>
        <v/>
      </c>
      <c r="I14" s="8" t="s">
        <v>281</v>
      </c>
      <c r="J14" s="9"/>
      <c r="K14" s="9"/>
      <c r="L14" s="9"/>
    </row>
    <row r="15" customFormat="false" ht="15" hidden="false" customHeight="true" outlineLevel="0" collapsed="false">
      <c r="A15" s="8" t="n">
        <v>14</v>
      </c>
      <c r="B15" s="8" t="s">
        <v>107</v>
      </c>
      <c r="C15" s="9"/>
      <c r="D15" s="9"/>
      <c r="E15" s="9"/>
      <c r="F15" s="9" t="s">
        <v>391</v>
      </c>
      <c r="G15" s="11" t="str">
        <f aca="false">IF(AND(ISNUMBER(D15),F15&lt;&gt;""),D15*INDEX(Lists!$B$2:$B$7,MATCH(F15,Lists!$A$2:$A$7,0)),"")</f>
        <v/>
      </c>
      <c r="H15" s="11" t="str">
        <f aca="false">IF(AND(ISNUMBER(E15),F15&lt;&gt;""),E15*INDEX(Lists!$B$2:$B$7,MATCH(F15,Lists!$A$2:$A$7,0)),"")</f>
        <v/>
      </c>
      <c r="I15" s="8" t="s">
        <v>281</v>
      </c>
      <c r="J15" s="9"/>
      <c r="K15" s="9"/>
      <c r="L15" s="9"/>
    </row>
    <row r="16" customFormat="false" ht="15" hidden="false" customHeight="true" outlineLevel="0" collapsed="false">
      <c r="A16" s="8" t="n">
        <v>15</v>
      </c>
      <c r="B16" s="8" t="s">
        <v>107</v>
      </c>
      <c r="C16" s="9"/>
      <c r="D16" s="9"/>
      <c r="E16" s="9"/>
      <c r="F16" s="9" t="s">
        <v>391</v>
      </c>
      <c r="G16" s="11" t="str">
        <f aca="false">IF(AND(ISNUMBER(D16),F16&lt;&gt;""),D16*INDEX(Lists!$B$2:$B$7,MATCH(F16,Lists!$A$2:$A$7,0)),"")</f>
        <v/>
      </c>
      <c r="H16" s="11" t="str">
        <f aca="false">IF(AND(ISNUMBER(E16),F16&lt;&gt;""),E16*INDEX(Lists!$B$2:$B$7,MATCH(F16,Lists!$A$2:$A$7,0)),"")</f>
        <v/>
      </c>
      <c r="I16" s="8" t="s">
        <v>281</v>
      </c>
      <c r="J16" s="9"/>
      <c r="K16" s="9"/>
      <c r="L16" s="9"/>
    </row>
    <row r="17" customFormat="false" ht="15" hidden="false" customHeight="true" outlineLevel="0" collapsed="false">
      <c r="A17" s="8" t="n">
        <v>16</v>
      </c>
      <c r="B17" s="8" t="s">
        <v>107</v>
      </c>
      <c r="C17" s="9"/>
      <c r="D17" s="9"/>
      <c r="E17" s="9"/>
      <c r="F17" s="9" t="s">
        <v>391</v>
      </c>
      <c r="G17" s="11" t="str">
        <f aca="false">IF(AND(ISNUMBER(D17),F17&lt;&gt;""),D17*INDEX(Lists!$B$2:$B$7,MATCH(F17,Lists!$A$2:$A$7,0)),"")</f>
        <v/>
      </c>
      <c r="H17" s="11" t="str">
        <f aca="false">IF(AND(ISNUMBER(E17),F17&lt;&gt;""),E17*INDEX(Lists!$B$2:$B$7,MATCH(F17,Lists!$A$2:$A$7,0)),"")</f>
        <v/>
      </c>
      <c r="I17" s="8" t="s">
        <v>281</v>
      </c>
      <c r="J17" s="9"/>
      <c r="K17" s="9"/>
      <c r="L17" s="9"/>
    </row>
    <row r="18" customFormat="false" ht="15" hidden="false" customHeight="true" outlineLevel="0" collapsed="false">
      <c r="A18" s="8" t="n">
        <v>17</v>
      </c>
      <c r="B18" s="8" t="s">
        <v>107</v>
      </c>
      <c r="C18" s="9"/>
      <c r="D18" s="9"/>
      <c r="E18" s="9"/>
      <c r="F18" s="9" t="s">
        <v>391</v>
      </c>
      <c r="G18" s="11" t="str">
        <f aca="false">IF(AND(ISNUMBER(D18),F18&lt;&gt;""),D18*INDEX(Lists!$B$2:$B$7,MATCH(F18,Lists!$A$2:$A$7,0)),"")</f>
        <v/>
      </c>
      <c r="H18" s="11" t="str">
        <f aca="false">IF(AND(ISNUMBER(E18),F18&lt;&gt;""),E18*INDEX(Lists!$B$2:$B$7,MATCH(F18,Lists!$A$2:$A$7,0)),"")</f>
        <v/>
      </c>
      <c r="I18" s="8" t="s">
        <v>281</v>
      </c>
      <c r="J18" s="9"/>
      <c r="K18" s="9"/>
      <c r="L18" s="9"/>
    </row>
    <row r="19" customFormat="false" ht="15" hidden="false" customHeight="true" outlineLevel="0" collapsed="false">
      <c r="A19" s="8" t="n">
        <v>18</v>
      </c>
      <c r="B19" s="8" t="s">
        <v>107</v>
      </c>
      <c r="C19" s="9"/>
      <c r="D19" s="9"/>
      <c r="E19" s="9"/>
      <c r="F19" s="9" t="s">
        <v>391</v>
      </c>
      <c r="G19" s="11" t="str">
        <f aca="false">IF(AND(ISNUMBER(D19),F19&lt;&gt;""),D19*INDEX(Lists!$B$2:$B$7,MATCH(F19,Lists!$A$2:$A$7,0)),"")</f>
        <v/>
      </c>
      <c r="H19" s="11" t="str">
        <f aca="false">IF(AND(ISNUMBER(E19),F19&lt;&gt;""),E19*INDEX(Lists!$B$2:$B$7,MATCH(F19,Lists!$A$2:$A$7,0)),"")</f>
        <v/>
      </c>
      <c r="I19" s="8" t="s">
        <v>281</v>
      </c>
      <c r="J19" s="9"/>
      <c r="K19" s="9"/>
      <c r="L19" s="9"/>
    </row>
    <row r="20" customFormat="false" ht="15" hidden="false" customHeight="true" outlineLevel="0" collapsed="false">
      <c r="A20" s="8" t="n">
        <v>19</v>
      </c>
      <c r="B20" s="8" t="s">
        <v>107</v>
      </c>
      <c r="C20" s="9"/>
      <c r="D20" s="9"/>
      <c r="E20" s="9"/>
      <c r="F20" s="9" t="s">
        <v>391</v>
      </c>
      <c r="G20" s="11" t="str">
        <f aca="false">IF(AND(ISNUMBER(D20),F20&lt;&gt;""),D20*INDEX(Lists!$B$2:$B$7,MATCH(F20,Lists!$A$2:$A$7,0)),"")</f>
        <v/>
      </c>
      <c r="H20" s="11" t="str">
        <f aca="false">IF(AND(ISNUMBER(E20),F20&lt;&gt;""),E20*INDEX(Lists!$B$2:$B$7,MATCH(F20,Lists!$A$2:$A$7,0)),"")</f>
        <v/>
      </c>
      <c r="I20" s="8" t="s">
        <v>281</v>
      </c>
      <c r="J20" s="9"/>
      <c r="K20" s="9"/>
      <c r="L20" s="9"/>
    </row>
    <row r="22" customFormat="false" ht="15" hidden="false" customHeight="true" outlineLevel="0" collapsed="false">
      <c r="A22" s="13" t="s">
        <v>392</v>
      </c>
    </row>
  </sheetData>
  <dataValidations count="1">
    <dataValidation allowBlank="true" errorStyle="stop" operator="between" showDropDown="false" showErrorMessage="false" showInputMessage="false" sqref="F2:F20" type="list">
      <formula1>Lists!$A$2:$A$7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4"/>
    <col collapsed="false" customWidth="true" hidden="false" outlineLevel="0" max="3" min="3" style="1" width="22"/>
    <col collapsed="false" customWidth="true" hidden="false" outlineLevel="0" max="4" min="4" style="1" width="50"/>
    <col collapsed="false" customWidth="true" hidden="false" outlineLevel="0" max="5" min="5" style="1" width="28"/>
    <col collapsed="false" customWidth="true" hidden="false" outlineLevel="0" max="6" min="6" style="1" width="12"/>
    <col collapsed="false" customWidth="true" hidden="false" outlineLevel="0" max="7" min="7" style="1" width="24"/>
    <col collapsed="false" customWidth="true" hidden="false" outlineLevel="0" max="8" min="8" style="1" width="12"/>
  </cols>
  <sheetData>
    <row r="1" customFormat="false" ht="15" hidden="false" customHeight="true" outlineLevel="0" collapsed="false">
      <c r="A1" s="5" t="s">
        <v>393</v>
      </c>
      <c r="B1" s="5" t="s">
        <v>394</v>
      </c>
      <c r="C1" s="5" t="s">
        <v>395</v>
      </c>
      <c r="D1" s="5" t="s">
        <v>396</v>
      </c>
      <c r="E1" s="5" t="s">
        <v>397</v>
      </c>
      <c r="F1" s="5" t="s">
        <v>308</v>
      </c>
      <c r="G1" s="5" t="s">
        <v>398</v>
      </c>
      <c r="H1" s="5" t="s">
        <v>38</v>
      </c>
    </row>
    <row r="2" customFormat="false" ht="23.25" hidden="false" customHeight="true" outlineLevel="0" collapsed="false">
      <c r="A2" s="8" t="n">
        <v>1</v>
      </c>
      <c r="B2" s="8" t="s">
        <v>399</v>
      </c>
      <c r="C2" s="8" t="s">
        <v>400</v>
      </c>
      <c r="D2" s="8" t="s">
        <v>401</v>
      </c>
      <c r="E2" s="9"/>
      <c r="F2" s="9"/>
      <c r="G2" s="8" t="s">
        <v>402</v>
      </c>
      <c r="H2" s="9" t="s">
        <v>65</v>
      </c>
    </row>
    <row r="3" customFormat="false" ht="23.25" hidden="false" customHeight="true" outlineLevel="0" collapsed="false">
      <c r="A3" s="8" t="n">
        <v>2</v>
      </c>
      <c r="B3" s="8" t="s">
        <v>403</v>
      </c>
      <c r="C3" s="8" t="s">
        <v>351</v>
      </c>
      <c r="D3" s="8" t="s">
        <v>404</v>
      </c>
      <c r="E3" s="9"/>
      <c r="F3" s="9"/>
      <c r="G3" s="8" t="s">
        <v>405</v>
      </c>
      <c r="H3" s="9" t="s">
        <v>406</v>
      </c>
    </row>
    <row r="4" customFormat="false" ht="15" hidden="false" customHeight="true" outlineLevel="0" collapsed="false">
      <c r="A4" s="8" t="n">
        <v>3</v>
      </c>
      <c r="B4" s="8" t="s">
        <v>407</v>
      </c>
      <c r="C4" s="8" t="s">
        <v>400</v>
      </c>
      <c r="D4" s="8" t="s">
        <v>408</v>
      </c>
      <c r="E4" s="9"/>
      <c r="F4" s="9"/>
      <c r="G4" s="8" t="s">
        <v>409</v>
      </c>
      <c r="H4" s="9" t="s">
        <v>65</v>
      </c>
    </row>
    <row r="5" customFormat="false" ht="15" hidden="false" customHeight="true" outlineLevel="0" collapsed="false">
      <c r="A5" s="8" t="n">
        <v>4</v>
      </c>
      <c r="B5" s="8" t="s">
        <v>410</v>
      </c>
      <c r="C5" s="8" t="s">
        <v>400</v>
      </c>
      <c r="D5" s="8"/>
      <c r="E5" s="9"/>
      <c r="F5" s="9"/>
      <c r="G5" s="8" t="s">
        <v>411</v>
      </c>
      <c r="H5" s="9" t="s">
        <v>65</v>
      </c>
    </row>
    <row r="6" customFormat="false" ht="15" hidden="false" customHeight="true" outlineLevel="0" collapsed="false">
      <c r="A6" s="8" t="n">
        <v>5</v>
      </c>
      <c r="B6" s="8" t="s">
        <v>412</v>
      </c>
      <c r="C6" s="8" t="s">
        <v>400</v>
      </c>
      <c r="D6" s="8"/>
      <c r="E6" s="9"/>
      <c r="F6" s="9"/>
      <c r="G6" s="8" t="s">
        <v>413</v>
      </c>
      <c r="H6" s="9" t="s">
        <v>65</v>
      </c>
    </row>
    <row r="7" customFormat="false" ht="15" hidden="false" customHeight="true" outlineLevel="0" collapsed="false">
      <c r="A7" s="8" t="n">
        <v>6</v>
      </c>
      <c r="B7" s="8" t="s">
        <v>414</v>
      </c>
      <c r="C7" s="8" t="s">
        <v>400</v>
      </c>
      <c r="D7" s="8"/>
      <c r="E7" s="9"/>
      <c r="F7" s="9"/>
      <c r="G7" s="8" t="s">
        <v>415</v>
      </c>
      <c r="H7" s="9" t="s">
        <v>65</v>
      </c>
    </row>
    <row r="8" customFormat="false" ht="15" hidden="false" customHeight="true" outlineLevel="0" collapsed="false">
      <c r="A8" s="8" t="n">
        <v>7</v>
      </c>
      <c r="B8" s="8" t="s">
        <v>416</v>
      </c>
      <c r="C8" s="8" t="s">
        <v>400</v>
      </c>
      <c r="D8" s="8"/>
      <c r="E8" s="9"/>
      <c r="F8" s="9"/>
      <c r="G8" s="8" t="s">
        <v>417</v>
      </c>
      <c r="H8" s="9" t="s">
        <v>65</v>
      </c>
    </row>
    <row r="9" customFormat="false" ht="15" hidden="false" customHeight="true" outlineLevel="0" collapsed="false">
      <c r="A9" s="8" t="n">
        <v>8</v>
      </c>
      <c r="B9" s="8" t="s">
        <v>418</v>
      </c>
      <c r="C9" s="8" t="s">
        <v>400</v>
      </c>
      <c r="D9" s="8"/>
      <c r="E9" s="9"/>
      <c r="F9" s="9"/>
      <c r="G9" s="8" t="s">
        <v>419</v>
      </c>
      <c r="H9" s="9" t="s">
        <v>65</v>
      </c>
    </row>
    <row r="10" customFormat="false" ht="15" hidden="false" customHeight="true" outlineLevel="0" collapsed="false">
      <c r="A10" s="8" t="n">
        <v>9</v>
      </c>
      <c r="B10" s="8" t="s">
        <v>420</v>
      </c>
      <c r="C10" s="8" t="s">
        <v>400</v>
      </c>
      <c r="D10" s="8"/>
      <c r="E10" s="9"/>
      <c r="F10" s="9"/>
      <c r="G10" s="8" t="s">
        <v>421</v>
      </c>
      <c r="H10" s="9" t="s">
        <v>65</v>
      </c>
    </row>
    <row r="11" customFormat="false" ht="15" hidden="false" customHeight="true" outlineLevel="0" collapsed="false">
      <c r="A11" s="8" t="n">
        <v>10</v>
      </c>
      <c r="B11" s="8" t="s">
        <v>422</v>
      </c>
      <c r="C11" s="8" t="s">
        <v>400</v>
      </c>
      <c r="D11" s="8" t="s">
        <v>423</v>
      </c>
      <c r="E11" s="9"/>
      <c r="F11" s="9"/>
      <c r="G11" s="8" t="s">
        <v>402</v>
      </c>
      <c r="H11" s="9" t="s">
        <v>65</v>
      </c>
    </row>
    <row r="12" customFormat="false" ht="23.25" hidden="false" customHeight="true" outlineLevel="0" collapsed="false">
      <c r="A12" s="8" t="n">
        <v>11</v>
      </c>
      <c r="B12" s="8" t="s">
        <v>424</v>
      </c>
      <c r="C12" s="8" t="s">
        <v>425</v>
      </c>
      <c r="D12" s="8" t="s">
        <v>426</v>
      </c>
      <c r="E12" s="9"/>
      <c r="F12" s="9"/>
      <c r="G12" s="8" t="s">
        <v>427</v>
      </c>
      <c r="H12" s="9" t="s">
        <v>65</v>
      </c>
    </row>
    <row r="13" customFormat="false" ht="15" hidden="false" customHeight="true" outlineLevel="0" collapsed="false">
      <c r="A13" s="8" t="n">
        <v>12</v>
      </c>
      <c r="B13" s="8" t="s">
        <v>167</v>
      </c>
      <c r="C13" s="8" t="s">
        <v>351</v>
      </c>
      <c r="D13" s="8" t="s">
        <v>428</v>
      </c>
      <c r="E13" s="9"/>
      <c r="F13" s="9"/>
      <c r="G13" s="8" t="s">
        <v>429</v>
      </c>
      <c r="H13" s="9" t="s">
        <v>65</v>
      </c>
    </row>
    <row r="14" customFormat="false" ht="23.25" hidden="false" customHeight="true" outlineLevel="0" collapsed="false">
      <c r="A14" s="8" t="n">
        <v>13</v>
      </c>
      <c r="B14" s="8" t="s">
        <v>430</v>
      </c>
      <c r="C14" s="8" t="s">
        <v>351</v>
      </c>
      <c r="D14" s="8" t="s">
        <v>431</v>
      </c>
      <c r="E14" s="9"/>
      <c r="F14" s="9"/>
      <c r="G14" s="8" t="s">
        <v>432</v>
      </c>
      <c r="H14" s="9" t="s">
        <v>406</v>
      </c>
    </row>
    <row r="15" customFormat="false" ht="15" hidden="false" customHeight="true" outlineLevel="0" collapsed="false">
      <c r="A15" s="8" t="n">
        <v>14</v>
      </c>
      <c r="B15" s="8" t="s">
        <v>433</v>
      </c>
      <c r="C15" s="8" t="s">
        <v>351</v>
      </c>
      <c r="D15" s="8" t="s">
        <v>434</v>
      </c>
      <c r="E15" s="9"/>
      <c r="F15" s="9"/>
      <c r="G15" s="8" t="s">
        <v>159</v>
      </c>
      <c r="H15" s="9" t="s">
        <v>406</v>
      </c>
    </row>
    <row r="16" customFormat="false" ht="34.5" hidden="false" customHeight="true" outlineLevel="0" collapsed="false">
      <c r="A16" s="8" t="n">
        <v>15</v>
      </c>
      <c r="B16" s="8" t="s">
        <v>435</v>
      </c>
      <c r="C16" s="8" t="s">
        <v>400</v>
      </c>
      <c r="D16" s="8" t="s">
        <v>436</v>
      </c>
      <c r="E16" s="9"/>
      <c r="F16" s="9"/>
      <c r="G16" s="8" t="s">
        <v>421</v>
      </c>
      <c r="H16" s="9" t="s">
        <v>406</v>
      </c>
    </row>
    <row r="17" customFormat="false" ht="23.25" hidden="false" customHeight="true" outlineLevel="0" collapsed="false">
      <c r="A17" s="8" t="n">
        <v>16</v>
      </c>
      <c r="B17" s="8" t="s">
        <v>437</v>
      </c>
      <c r="C17" s="8" t="s">
        <v>351</v>
      </c>
      <c r="D17" s="8" t="s">
        <v>438</v>
      </c>
      <c r="E17" s="9"/>
      <c r="F17" s="9"/>
      <c r="G17" s="8" t="s">
        <v>439</v>
      </c>
      <c r="H17" s="9" t="s">
        <v>65</v>
      </c>
    </row>
  </sheetData>
  <dataValidations count="1">
    <dataValidation allowBlank="true" errorStyle="stop" operator="between" showDropDown="false" showErrorMessage="false" showInputMessage="false" sqref="H2:H17" type="list">
      <formula1>Lists!$L$2:$L$4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60"/>
  </cols>
  <sheetData>
    <row r="1" customFormat="false" ht="15" hidden="false" customHeight="true" outlineLevel="0" collapsed="false">
      <c r="A1" s="14" t="s">
        <v>440</v>
      </c>
    </row>
    <row r="3" customFormat="false" ht="15" hidden="false" customHeight="true" outlineLevel="0" collapsed="false">
      <c r="A3" s="8" t="s">
        <v>441</v>
      </c>
      <c r="B3" s="15" t="n">
        <f aca="false">COUNTIFS(Rule_register!$H$3:$H$102,"R1",Rule_register!$N$3:$N$102,"&lt;&gt;N/A")</f>
        <v>65</v>
      </c>
    </row>
    <row r="4" customFormat="false" ht="15" hidden="false" customHeight="true" outlineLevel="0" collapsed="false">
      <c r="A4" s="8" t="s">
        <v>442</v>
      </c>
      <c r="B4" s="15" t="n">
        <f aca="false">COUNTIFS(Rule_register!$H$3:$H$102,"R1",Rule_register!$N$3:$N$102,"Verified")</f>
        <v>0</v>
      </c>
    </row>
    <row r="5" customFormat="false" ht="15" hidden="false" customHeight="true" outlineLevel="0" collapsed="false">
      <c r="A5" s="8" t="s">
        <v>443</v>
      </c>
      <c r="B5" s="16" t="n">
        <f aca="false">IF(B3=0,0,B4/B3)</f>
        <v>0</v>
      </c>
    </row>
    <row r="6" customFormat="false" ht="15" hidden="false" customHeight="true" outlineLevel="0" collapsed="false">
      <c r="A6" s="8" t="s">
        <v>444</v>
      </c>
      <c r="B6" s="15" t="n">
        <f aca="false">COUNTIFS(Rule_register!$H$3:$H$102,"R1",Rule_register!$I$3:$I$102,"I",Rule_register!$N$3:$N$102,"&lt;&gt;N/A")</f>
        <v>14</v>
      </c>
    </row>
    <row r="7" customFormat="false" ht="15" hidden="false" customHeight="true" outlineLevel="0" collapsed="false">
      <c r="A7" s="8" t="s">
        <v>445</v>
      </c>
      <c r="B7" s="15" t="n">
        <f aca="false">COUNTIFS(Rule_register!$H$3:$H$102,"R1",Rule_register!$I$3:$I$102,"I",Rule_register!$N$3:$N$102,"Verified")</f>
        <v>0</v>
      </c>
    </row>
    <row r="8" customFormat="false" ht="15" hidden="false" customHeight="true" outlineLevel="0" collapsed="false">
      <c r="A8" s="8" t="s">
        <v>446</v>
      </c>
      <c r="B8" s="15" t="n">
        <f aca="false">COUNTIFS(Rule_register!$H$3:$H$102,"R1",Rule_register!$Q$3:$Q$102,"Y")</f>
        <v>0</v>
      </c>
    </row>
    <row r="9" customFormat="false" ht="15" hidden="false" customHeight="true" outlineLevel="0" collapsed="false">
      <c r="A9" s="8" t="s">
        <v>447</v>
      </c>
      <c r="B9" s="15" t="n">
        <f aca="false">COUNTIF(Reference_drafts!$V$2:$V$11,"Pass")</f>
        <v>0</v>
      </c>
    </row>
    <row r="10" customFormat="false" ht="15" hidden="false" customHeight="true" outlineLevel="0" collapsed="false">
      <c r="A10" s="8" t="s">
        <v>448</v>
      </c>
      <c r="B10" s="15" t="n">
        <f aca="false">COUNTIF(Reference_drafts!$O$2:$O$11,"Y")</f>
        <v>0</v>
      </c>
    </row>
    <row r="11" customFormat="false" ht="15" hidden="false" customHeight="true" outlineLevel="0" collapsed="false">
      <c r="A11" s="8" t="s">
        <v>449</v>
      </c>
      <c r="B11" s="15" t="n">
        <f aca="false">COUNTIF(Decisions!$H$2:$H$17,"Open")</f>
        <v>12</v>
      </c>
    </row>
    <row r="12" customFormat="false" ht="15" hidden="false" customHeight="true" outlineLevel="0" collapsed="false">
      <c r="A12" s="8" t="s">
        <v>450</v>
      </c>
      <c r="B12" s="15" t="n">
        <f aca="false">COUNTA(Size_charts!$L$4:$L$13)+COUNTA(Size_charts!$L$18:$L$25)</f>
        <v>0</v>
      </c>
    </row>
    <row r="14" customFormat="false" ht="15" hidden="false" customHeight="true" outlineLevel="0" collapsed="false">
      <c r="A14" s="12" t="s">
        <v>451</v>
      </c>
      <c r="B14" s="12" t="str">
        <f aca="false">IF(AND(B5=1,B9=10,B7=B6,B11=0,B12=18),"READY FOR G0 REVIEW","NOT READY")</f>
        <v>NOT READY</v>
      </c>
    </row>
    <row r="15" customFormat="false" ht="15" hidden="false" customHeight="true" outlineLevel="0" collapsed="false">
      <c r="A15" s="13" t="s">
        <v>452</v>
      </c>
    </row>
    <row r="17" customFormat="false" ht="15" hidden="false" customHeight="true" outlineLevel="0" collapsed="false">
      <c r="A17" s="14" t="s">
        <v>453</v>
      </c>
    </row>
    <row r="18" customFormat="false" ht="15" hidden="false" customHeight="true" outlineLevel="0" collapsed="false">
      <c r="A18" s="8" t="s">
        <v>454</v>
      </c>
      <c r="B18" s="9"/>
    </row>
    <row r="19" customFormat="false" ht="15" hidden="false" customHeight="true" outlineLevel="0" collapsed="false">
      <c r="A19" s="8" t="s">
        <v>455</v>
      </c>
      <c r="B19" s="9"/>
    </row>
    <row r="20" customFormat="false" ht="23.25" hidden="false" customHeight="true" outlineLevel="0" collapsed="false">
      <c r="A20" s="8" t="s">
        <v>456</v>
      </c>
      <c r="B20" s="9" t="s">
        <v>457</v>
      </c>
    </row>
    <row r="21" customFormat="false" ht="15" hidden="false" customHeight="true" outlineLevel="0" collapsed="false">
      <c r="A21" s="8" t="s">
        <v>458</v>
      </c>
      <c r="B21" s="9"/>
    </row>
    <row r="22" customFormat="false" ht="15" hidden="false" customHeight="true" outlineLevel="0" collapsed="false">
      <c r="A22" s="8" t="s">
        <v>459</v>
      </c>
      <c r="B22" s="9"/>
    </row>
    <row r="23" customFormat="false" ht="15" hidden="false" customHeight="true" outlineLevel="0" collapsed="false">
      <c r="A23" s="8" t="s">
        <v>460</v>
      </c>
      <c r="B23" s="9"/>
    </row>
    <row r="24" customFormat="false" ht="15" hidden="false" customHeight="true" outlineLevel="0" collapsed="false">
      <c r="A24" s="8" t="s">
        <v>461</v>
      </c>
      <c r="B24" s="9" t="s">
        <v>462</v>
      </c>
    </row>
    <row r="25" customFormat="false" ht="15" hidden="false" customHeight="true" outlineLevel="0" collapsed="false">
      <c r="A25" s="8" t="s">
        <v>463</v>
      </c>
      <c r="B25" s="9" t="s">
        <v>464</v>
      </c>
    </row>
    <row r="26" customFormat="false" ht="15" hidden="false" customHeight="true" outlineLevel="0" collapsed="false">
      <c r="A26" s="8" t="s">
        <v>465</v>
      </c>
      <c r="B26" s="9"/>
    </row>
    <row r="27" customFormat="false" ht="15" hidden="false" customHeight="true" outlineLevel="0" collapsed="false">
      <c r="A27" s="8" t="s">
        <v>466</v>
      </c>
      <c r="B27" s="9" t="s">
        <v>467</v>
      </c>
    </row>
  </sheetData>
  <dataValidations count="1">
    <dataValidation allowBlank="true" errorStyle="stop" operator="between" showDropDown="false" showErrorMessage="false" showInputMessage="false" sqref="B25" type="list">
      <formula1>Lists!$K$2:$K$5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3"/>
    <col collapsed="false" customWidth="true" hidden="false" outlineLevel="0" max="4" min="4" style="1" width="8"/>
    <col collapsed="false" customWidth="true" hidden="false" outlineLevel="0" max="5" min="5" style="1" width="14"/>
    <col collapsed="false" customWidth="true" hidden="false" outlineLevel="0" max="7" min="6" style="1" width="10"/>
    <col collapsed="false" customWidth="true" hidden="false" outlineLevel="0" max="9" min="8" style="1" width="16"/>
    <col collapsed="false" customWidth="true" hidden="false" outlineLevel="0" max="10" min="10" style="1" width="10"/>
    <col collapsed="false" customWidth="true" hidden="false" outlineLevel="0" max="12" min="11" style="1" width="16"/>
  </cols>
  <sheetData>
    <row r="1" customFormat="false" ht="15" hidden="false" customHeight="true" outlineLevel="0" collapsed="false">
      <c r="A1" s="17" t="s">
        <v>297</v>
      </c>
      <c r="B1" s="17" t="s">
        <v>468</v>
      </c>
      <c r="C1" s="17"/>
      <c r="D1" s="17" t="s">
        <v>469</v>
      </c>
      <c r="E1" s="17" t="s">
        <v>38</v>
      </c>
      <c r="F1" s="17" t="s">
        <v>32</v>
      </c>
      <c r="G1" s="17" t="s">
        <v>470</v>
      </c>
      <c r="H1" s="17" t="s">
        <v>471</v>
      </c>
      <c r="I1" s="17" t="s">
        <v>472</v>
      </c>
      <c r="J1" s="17" t="s">
        <v>357</v>
      </c>
      <c r="K1" s="17" t="s">
        <v>473</v>
      </c>
      <c r="L1" s="17" t="s">
        <v>474</v>
      </c>
    </row>
    <row r="2" customFormat="false" ht="15" hidden="false" customHeight="true" outlineLevel="0" collapsed="false">
      <c r="A2" s="18" t="s">
        <v>391</v>
      </c>
      <c r="B2" s="18" t="n">
        <v>1</v>
      </c>
      <c r="C2" s="18"/>
      <c r="D2" s="18" t="s">
        <v>52</v>
      </c>
      <c r="E2" s="18" t="s">
        <v>65</v>
      </c>
      <c r="F2" s="18" t="s">
        <v>51</v>
      </c>
      <c r="G2" s="18" t="s">
        <v>58</v>
      </c>
      <c r="H2" s="18" t="s">
        <v>475</v>
      </c>
      <c r="I2" s="18" t="s">
        <v>105</v>
      </c>
      <c r="J2" s="18" t="s">
        <v>363</v>
      </c>
      <c r="K2" s="18" t="s">
        <v>464</v>
      </c>
      <c r="L2" s="18" t="s">
        <v>65</v>
      </c>
    </row>
    <row r="3" customFormat="false" ht="15" hidden="false" customHeight="true" outlineLevel="0" collapsed="false">
      <c r="A3" s="18" t="s">
        <v>54</v>
      </c>
      <c r="B3" s="18" t="n">
        <v>10</v>
      </c>
      <c r="C3" s="18"/>
      <c r="D3" s="18" t="s">
        <v>132</v>
      </c>
      <c r="E3" s="18" t="s">
        <v>476</v>
      </c>
      <c r="F3" s="18" t="s">
        <v>247</v>
      </c>
      <c r="G3" s="18" t="s">
        <v>361</v>
      </c>
      <c r="H3" s="18" t="s">
        <v>360</v>
      </c>
      <c r="I3" s="18" t="s">
        <v>477</v>
      </c>
      <c r="J3" s="18" t="s">
        <v>478</v>
      </c>
      <c r="K3" s="18" t="s">
        <v>479</v>
      </c>
      <c r="L3" s="18" t="s">
        <v>406</v>
      </c>
    </row>
    <row r="4" customFormat="false" ht="15" hidden="false" customHeight="true" outlineLevel="0" collapsed="false">
      <c r="A4" s="18" t="s">
        <v>480</v>
      </c>
      <c r="B4" s="18" t="n">
        <v>1000</v>
      </c>
      <c r="C4" s="18"/>
      <c r="D4" s="18" t="s">
        <v>211</v>
      </c>
      <c r="E4" s="18" t="s">
        <v>481</v>
      </c>
      <c r="F4" s="18"/>
      <c r="G4" s="18"/>
      <c r="H4" s="18" t="s">
        <v>482</v>
      </c>
      <c r="I4" s="18"/>
      <c r="J4" s="18" t="s">
        <v>483</v>
      </c>
      <c r="K4" s="18" t="s">
        <v>484</v>
      </c>
      <c r="L4" s="18" t="s">
        <v>481</v>
      </c>
    </row>
    <row r="5" customFormat="false" ht="15" hidden="false" customHeight="true" outlineLevel="0" collapsed="false">
      <c r="A5" s="18" t="s">
        <v>485</v>
      </c>
      <c r="B5" s="18" t="n">
        <v>25.4</v>
      </c>
      <c r="C5" s="18"/>
      <c r="D5" s="18"/>
      <c r="E5" s="18" t="s">
        <v>486</v>
      </c>
      <c r="F5" s="18"/>
      <c r="G5" s="18"/>
      <c r="H5" s="18"/>
      <c r="I5" s="18"/>
      <c r="J5" s="18"/>
      <c r="K5" s="18" t="s">
        <v>487</v>
      </c>
      <c r="L5" s="18"/>
    </row>
    <row r="6" customFormat="false" ht="15" hidden="false" customHeight="true" outlineLevel="0" collapsed="false">
      <c r="A6" s="18" t="s">
        <v>488</v>
      </c>
      <c r="B6" s="18" t="n">
        <v>304.8</v>
      </c>
      <c r="C6" s="18"/>
      <c r="D6" s="18"/>
      <c r="E6" s="18" t="s">
        <v>489</v>
      </c>
      <c r="F6" s="18"/>
      <c r="G6" s="18"/>
      <c r="H6" s="18"/>
      <c r="I6" s="18"/>
      <c r="J6" s="18"/>
      <c r="K6" s="18"/>
      <c r="L6" s="18"/>
    </row>
    <row r="7" customFormat="false" ht="15" hidden="false" customHeight="true" outlineLevel="0" collapsed="false">
      <c r="A7" s="18" t="s">
        <v>490</v>
      </c>
      <c r="B7" s="18" t="n">
        <v>914.4</v>
      </c>
      <c r="C7" s="18"/>
      <c r="D7" s="18"/>
      <c r="E7" s="18" t="s">
        <v>491</v>
      </c>
      <c r="F7" s="18"/>
      <c r="G7" s="18"/>
      <c r="H7" s="18"/>
      <c r="I7" s="18"/>
      <c r="J7" s="18"/>
      <c r="K7" s="18"/>
      <c r="L7" s="18"/>
    </row>
    <row r="8" customFormat="false" ht="15" hidden="false" customHeight="true" outlineLevel="0" collapsed="false">
      <c r="A8" s="18"/>
      <c r="B8" s="18"/>
      <c r="C8" s="18"/>
      <c r="D8" s="18"/>
      <c r="E8" s="18" t="s">
        <v>55</v>
      </c>
      <c r="F8" s="18"/>
      <c r="G8" s="18"/>
      <c r="H8" s="18"/>
      <c r="I8" s="18"/>
      <c r="J8" s="18"/>
      <c r="K8" s="18"/>
      <c r="L8" s="18"/>
    </row>
    <row r="9" customFormat="false" ht="15" hidden="false" customHeight="true" outlineLevel="0" collapsed="false">
      <c r="A9" s="18" t="s">
        <v>492</v>
      </c>
      <c r="B9" s="18"/>
      <c r="C9" s="18"/>
      <c r="D9" s="18"/>
      <c r="E9" s="18"/>
      <c r="F9" s="18"/>
      <c r="G9" s="18"/>
      <c r="H9" s="18"/>
      <c r="I9" s="18"/>
      <c r="J9" s="18"/>
      <c r="K9" s="18"/>
      <c r="L9"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2026-10-08T21:18:33Z</dcterms:created>
  <dc:creator>openpyxl</dc:creator>
  <dc:description/>
  <dc:language>en-US</dc:language>
  <cp:lastModifiedBy/>
  <dcterms:modified xsi:type="dcterms:W3CDTF">2026-10-09T05:49:40Z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